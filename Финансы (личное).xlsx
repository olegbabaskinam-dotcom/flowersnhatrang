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Финансы" sheetId="1" r:id="rId5"/>
  </sheets>
  <definedNames>
    <definedName name="A302A1">'Финансы'!$A$1</definedName>
  </definedNames>
  <calcPr/>
</workbook>
</file>

<file path=xl/sharedStrings.xml><?xml version="1.0" encoding="utf-8"?>
<sst xmlns="http://schemas.openxmlformats.org/spreadsheetml/2006/main" count="895" uniqueCount="431">
  <si>
    <t>№</t>
  </si>
  <si>
    <t>Дата</t>
  </si>
  <si>
    <t>Время</t>
  </si>
  <si>
    <t>Что заказали</t>
  </si>
  <si>
    <t>Цена продажи</t>
  </si>
  <si>
    <t>Себестоимость</t>
  </si>
  <si>
    <t>Такси/доставка</t>
  </si>
  <si>
    <t>Реклама</t>
  </si>
  <si>
    <t>Прочие расходы</t>
  </si>
  <si>
    <t>Чистая прибыль</t>
  </si>
  <si>
    <t>Месяц</t>
  </si>
  <si>
    <t>Заказов</t>
  </si>
  <si>
    <t>Выручка</t>
  </si>
  <si>
    <t>Декабрь</t>
  </si>
  <si>
    <t>201 Роза в коробке 19:00 ( Саня Приднестровье )</t>
  </si>
  <si>
    <t>Январь</t>
  </si>
  <si>
    <t>15 роз в 22:00 вечера ( Алан )</t>
  </si>
  <si>
    <t>Февраль</t>
  </si>
  <si>
    <t>25 роз в 9:00 утра ( Карина )</t>
  </si>
  <si>
    <t>Март</t>
  </si>
  <si>
    <t>кустовые сборный сочи ( тг ) к 16:00 за 13400 рублей</t>
  </si>
  <si>
    <t>Апрель</t>
  </si>
  <si>
    <t>сборный букет за 600к ( Леону )</t>
  </si>
  <si>
    <t>Май</t>
  </si>
  <si>
    <t>101 красная Роза в белой упаковке Наполеон север ( Артем тг )</t>
  </si>
  <si>
    <t>Июнь</t>
  </si>
  <si>
    <t>2 пачки гипсофил Москва ( Военный Подольск )</t>
  </si>
  <si>
    <t>ИТОГО</t>
  </si>
  <si>
    <t>Авторский букет за 800к Нячанг ( Питу )</t>
  </si>
  <si>
    <t>25 белых роз в белую упаковку за 350.000 донгов ( Руслан ТГ )</t>
  </si>
  <si>
    <t>сборный букет за 75 баксов ( Саня преднистровье )</t>
  </si>
  <si>
    <t>101 Роза микс белые и красные Кгору другу Леона за 60 баксов ( Егор )</t>
  </si>
  <si>
    <t>51 Сочи (рубли)</t>
  </si>
  <si>
    <t>Сборный</t>
  </si>
  <si>
    <t>25 роз</t>
  </si>
  <si>
    <t>101 роза</t>
  </si>
  <si>
    <t>10 гортензий</t>
  </si>
  <si>
    <t>Сборный WhatsApp</t>
  </si>
  <si>
    <t>51 розовая</t>
  </si>
  <si>
    <t>25 кр.роз</t>
  </si>
  <si>
    <t>Кустовые</t>
  </si>
  <si>
    <t>101 красная</t>
  </si>
  <si>
    <t>1 пачка куст</t>
  </si>
  <si>
    <t>25 роз оранж</t>
  </si>
  <si>
    <t>25 роз сборн.уп</t>
  </si>
  <si>
    <t>51 роза</t>
  </si>
  <si>
    <t>Сборный + торт</t>
  </si>
  <si>
    <t>200 роз</t>
  </si>
  <si>
    <t>25 роз розовых и пирожное за 500к ( Марк )</t>
  </si>
  <si>
    <t>51 Роза розовая в белую упаковку за 1 млн ( Алекс ) ( закуп 300 )</t>
  </si>
  <si>
    <t>25 роз красных ( Денис ) за 500к закуп - 250к</t>
  </si>
  <si>
    <t>Питу сборный авторский за 700к ( закуп 300к )</t>
  </si>
  <si>
    <t>25 белых роз доставка в Панаму за 500к ( Александр ) закуп 250</t>
  </si>
  <si>
    <t>сборный на 1 млн в бело розовых тонах ( Антон ) закуп 500</t>
  </si>
  <si>
    <t>101 Роза Джумилия за 1,5 млн донгов ( Данил ) закуп 600</t>
  </si>
  <si>
    <t>25 роз Джумилия за 500.000 донгов к 8:30 утра ( закуп 250к )</t>
  </si>
  <si>
    <t>10 подсолнухов в желтую упаковку за 900.000 ( Айнур ) 10:00 утра - закуп 500к</t>
  </si>
  <si>
    <t>5 пачек кустовой с эвкалиптом за 2,5 млн ( закуп 1,4 млн ) ( Карина )</t>
  </si>
  <si>
    <t>29 роз как на фото за 600.000 ( Карина ) ( закуп 300к )</t>
  </si>
  <si>
    <t>51 Роза красная в белую упаковку за 500к ( закуп 350к ) ( Андрей Алкорум )</t>
  </si>
  <si>
    <t>7 лилий под ленту за 650.000 ( Serg ) ( закуп 400к )</t>
  </si>
  <si>
    <t>3 букета ( 25 роз / 25 роз / 5 лилий ) за 1.350.000 ( Константин Белов ) ( закуп 700к )</t>
  </si>
  <si>
    <t>101 Роза бело красная за 1,5 ляма ( Василий ) ( закуп - 600к )</t>
  </si>
  <si>
    <t>25 роз джумилия за 500к ( Айдар ) ( закуп 250к )</t>
  </si>
  <si>
    <t>101 красная Роза за 1,5 млн ( Андрей ) ( заказ 600к)</t>
  </si>
  <si>
    <t>101 розовая Роза за 1,5 млн ( Андрей ) ( закуп 600к)</t>
  </si>
  <si>
    <t>101 Роза доставка Ольге за 1,5 млн ( Nadin ) ( закуп 600к )</t>
  </si>
  <si>
    <t>сборный тоже Ольге за 1.250.000 ( Nadin ) ( закуп 650к )</t>
  </si>
  <si>
    <t>101 Роза красная пионовидная за 1,5 млн + 2 букета по 7 роз ( закуп 700к )</t>
  </si>
  <si>
    <t>101 Роза красная в месте в Камрань за 2,2 млн ( закуп 700к ) ( такси - 600 )</t>
  </si>
  <si>
    <t>Сборный букет за 1,5 ляма на водопады ( Владимир ) 8:30 утра ( 500 закупка / 500 такси )</t>
  </si>
  <si>
    <t>101 Роза красная в белой упаковке за 1,5 млн ( Iurii Filippov ) 10:30 ( 900 закупка ) ( 100 такси )</t>
  </si>
  <si>
    <t>151 розовая Роза в Камрань за 2.850.000 ( Morgan ) к 12:00 ( 1.350.000 закупка ) ( 550.000 такси )</t>
  </si>
  <si>
    <t>101 красно белая Роза в Камрань за 2,5 млн ( Василий ) ( закуп 650к ) ( 500 такси )</t>
  </si>
  <si>
    <t>51 красная пионовидная в Камрань за 2 млн ( Егор )</t>
  </si>
  <si>
    <t>сборный букет как на фото в центр нячанга в вотс апе за 1,2 млн донгов</t>
  </si>
  <si>
    <t>101 Джамилия за 2 ляма ( закуп 600к ) ( Саня Молдова )</t>
  </si>
  <si>
    <t>101 белая за 2 ляма ( закуп 600к ) ( Браоу Сане Молдове )</t>
  </si>
  <si>
    <t>сборный авторский за 1,2 млн ( закуп - 500 ) ( Андрей в инсте )</t>
  </si>
  <si>
    <t>51 розовая Роза за 2 млн в Камрань ( D ) к 9:00</t>
  </si>
  <si>
    <t>2 букета ( 101 Роза и 51 Роза ) за 3,5 млн ( в Инсте Владик Пак ) к 9:00 утра</t>
  </si>
  <si>
    <t>25 белых роз за 750.000 ( Arsen) к 14:00</t>
  </si>
  <si>
    <t>101 розовая Роза в Камрань за 3 млн донгов ( Ruslan Guba )</t>
  </si>
  <si>
    <t>51 красная Роза в океанус за 1,5 млн ( Родя Анисимов )</t>
  </si>
  <si>
    <t>сборный букет за 800к ( закуп 400к ) ( Михаил )</t>
  </si>
  <si>
    <t>сборный за 1 млн ( закуп 450 ) ( казах в тг )</t>
  </si>
  <si>
    <t>51 Роза белая за 1,5 ляма ( закуп 350к ) ( procrastination )</t>
  </si>
  <si>
    <t>201 Роза красная в панораму в вотс апе за 3 ляма ( закуп 1,5 ляма )</t>
  </si>
  <si>
    <t>25 белых роз за 750к ( Mary ) ( закуп 300к )</t>
  </si>
  <si>
    <t>25 красных роз в Balcony за 750.000 ( закуп 250.000 )</t>
  </si>
  <si>
    <t>51 красная Роза и ваза за 1,5 млн ( Григорий )</t>
  </si>
  <si>
    <t>51 красная Роза в черную упаковку ( Raybek )</t>
  </si>
  <si>
    <t>33 красные розы в 8:00 утра за 650.000 донгов ( Сергей )</t>
  </si>
  <si>
    <t>51 белая Роза в Океанус за 1 млн ( Игорь )</t>
  </si>
  <si>
    <t>51 белая Роза в весна отель за 1 млн ( закуп 300 ) ( Владимир Электрик )</t>
  </si>
  <si>
    <t>25 белых роз на 7:30 утра ( в вотс ап 08-03 )</t>
  </si>
  <si>
    <t>31 белая Роза в 11:30 утра ( Evg Evg )</t>
  </si>
  <si>
    <t>101 красная Роза в белой упаковке за 1,5 млн ( ♥️ )</t>
  </si>
  <si>
    <t>51 белая Роза с эфкалиптом за 900к ( в инсте almmzzz )</t>
  </si>
  <si>
    <t>букет сборный за 1,5 млн другу Ильи ( в вот сапе 3080 )</t>
  </si>
  <si>
    <t>51 красная Роза за 1 млн от ( Кристины )</t>
  </si>
  <si>
    <t>101 Роза розовая Полине в Скению за 1,5 млн ( Алексей тг )</t>
  </si>
  <si>
    <t>25 роз розовые за 500к ( закуп - 250к ) в вотс апе 52-24</t>
  </si>
  <si>
    <t>сборный букет на 700к ( Надя в тг ) ( закуп - 400к )</t>
  </si>
  <si>
    <t>25 роз розовых в вот с апе 58-88 за 500к</t>
  </si>
  <si>
    <t>51 розовая Роза за 1 млн ( закуп 350к ) в тг Юлия Певлина</t>
  </si>
  <si>
    <t>3 пачки кустовых розовых за 1.650.000 ( в инст Кристина ) ( закуп 900к )</t>
  </si>
  <si>
    <t>50 подсолнухов в бичфронт за 1.5 млн ( в инсте Azhar-anastasia ) ( закуп 700к )</t>
  </si>
  <si>
    <t>сборный букет за 1.750.000 донгов в тг Олеся ( закуп 900к )</t>
  </si>
  <si>
    <t>25 роз коралловых за 500к в тг .</t>
  </si>
  <si>
    <t>51 белая Роза в бест вестерн за 1 млн донгов ( закуп 300 )</t>
  </si>
  <si>
    <t>51 Роза на север днем за 1 млн ( в инсте Александра Шевцова )</t>
  </si>
  <si>
    <t>25 роз коралловые за 500к в тг Дарья Шерман</t>
  </si>
  <si>
    <t>сборный букет за 1.2 ляма тг Lerk ( закуп 550к )</t>
  </si>
  <si>
    <t>сборный букет за 1.2 ляма тг Alexey M ( закуп 550к )</t>
  </si>
  <si>
    <t>51 красная Роза в инсте вырастумкуплю бмв к 23:50 за 1 млн</t>
  </si>
  <si>
    <t>25 розовых роз за 500к ( закуп 350к )</t>
  </si>
  <si>
    <t>10 пачек подсолнухов за 1,5 млн в тг Nadin</t>
  </si>
  <si>
    <t>101 белая Роза за 1,5 млн тг Толлуман999</t>
  </si>
  <si>
    <t>сборный за 800к в тг folf закуп (400к)</t>
  </si>
  <si>
    <t>151 Роза красная и тара за 4 млн донгов ( в тг Nikita ) 25% предоплаты</t>
  </si>
  <si>
    <t>25 роз джумилия в 6 утра в Комодо за 1 млн ( тг Tim Road )</t>
  </si>
  <si>
    <t>151 белая Роза в белую упаковку в 9 утра за 4.500.000 ( Андрей - @Adrei200 )</t>
  </si>
  <si>
    <t>3 пачки кустовых роз за 2 млн ( D )</t>
  </si>
  <si>
    <t>7 пачек гербер для Роди в тг за 1.5 млн</t>
  </si>
  <si>
    <t>25 роз в инсте Angelika</t>
  </si>
  <si>
    <t>2 букета , 51 Роза и 3 пачки лилий за 4,7 млн ( в вотс апе 42-60 )</t>
  </si>
  <si>
    <t>пачка лилий на север за 500к ( в тг Макс Костылевский )</t>
  </si>
  <si>
    <t>сборный букет как на фото за 1.250.000 донгов + игрушка ( тг Ivan Maiboroda )</t>
  </si>
  <si>
    <t>51 Роза розовая в тг Thotiana</t>
  </si>
  <si>
    <t>сборный букет на рынке розовый в тг Софья за 1.7 млн донгов</t>
  </si>
  <si>
    <t>сборный букет за 2 млн в бело розовых тонах</t>
  </si>
  <si>
    <t>25 роз красных EVG тг за 1 млн донгов</t>
  </si>
  <si>
    <t>4 пачки кустовых за 3 млн донгов в тг ( Илья в тг )</t>
  </si>
  <si>
    <t>4 букета сборных за 3,5 млн в тг EVVE</t>
  </si>
  <si>
    <t>101 Роза за 3 ляма ( вотс ап друг )</t>
  </si>
  <si>
    <t>101 Роза персиковая за 3 ляма</t>
  </si>
  <si>
    <t>51 Роза и 6 роз за 2,8 млн в Камрань</t>
  </si>
  <si>
    <t>101 красная Роза за 1.5 млн Владимир в тг в 8:00 утра</t>
  </si>
  <si>
    <t>101 красная Роза за 1.5 млн в тг Voone</t>
  </si>
  <si>
    <t>101 Роза Ревиваль свит в д куйе)) ( в тг Павел Богданович )</t>
  </si>
  <si>
    <t>51 белая Роза за 1 млн нал в вотс ап Виктория</t>
  </si>
  <si>
    <t>101 огненна Роза за 1.5 млн , Михаил тг</t>
  </si>
  <si>
    <t>101 Роза и 25 роз красных за 2 ляма ( закуп 1 млн )</t>
  </si>
  <si>
    <t>51 Роза пионовидная в тг Малика за 1 млн</t>
  </si>
  <si>
    <t>101 Роза розовая в весна отель в вотс ап Андрей за 1,5 млн</t>
  </si>
  <si>
    <t>101 оранжевую розу за 1,5 лям</t>
  </si>
  <si>
    <t>51 розовая Роза под ленту за 1 млн в тг Олеся</t>
  </si>
  <si>
    <t>25 розовых роз за 500к в вотс ап 5566</t>
  </si>
  <si>
    <t>25 красных роз в инсте Юлия Апанасенко</t>
  </si>
  <si>
    <t>25 красных роз Олег в тг за 500к</t>
  </si>
  <si>
    <t>51 красная Роза в стар сити в тг Vladislav в 7 утра</t>
  </si>
  <si>
    <t>25 красных роз в отель Starlet ( в ворс ап 68-03 ) в 8 утра</t>
  </si>
  <si>
    <t>2 букета лилий белый и розовые и 2 шара 1.1 млн + 200к шары ( в тг Екатерина ) 8:30</t>
  </si>
  <si>
    <t>25 красных роз в отель весна в 8:30 утра в тг Илья</t>
  </si>
  <si>
    <t>51 красная Роза в Камрань в тг Марсель</t>
  </si>
  <si>
    <t>550.000 донгов на сборном букете ( D tg )</t>
  </si>
  <si>
    <t>сборный за 500к Адексу по себестоимости</t>
  </si>
  <si>
    <t>4 пачки подсолнухов - 600к + 3 шара 300к это 900к заказ в тг Даша</t>
  </si>
  <si>
    <t>11 хризантем в 6 утра - Юлия в тг за 550.000 донгов</t>
  </si>
  <si>
    <t>2 букета по 25 роз за 800к в инсте Инга</t>
  </si>
  <si>
    <t>101 розовая Роза в Best Western в 8 утра в тг Михаил</t>
  </si>
  <si>
    <t>25 роз красных в 9 утра за 500к в тг Андрей</t>
  </si>
  <si>
    <t>25 роз красные в Руби за 500к в тг Константин Колесов</t>
  </si>
  <si>
    <t>сборный букет за 1 млн на пляж ( в вотс апе 87 71 )</t>
  </si>
  <si>
    <t>101 розовая Роза за 1.5 млн в тг Константин Дананов</t>
  </si>
  <si>
    <t>25 розовых роз в Камрань за 1 млн в тг Антон в 7 утра</t>
  </si>
  <si>
    <t>25 роз за 500к в вотс апе 59-57</t>
  </si>
  <si>
    <t>сборный в Камрань за 1.5 млн ( в тг Amina )</t>
  </si>
  <si>
    <t>51 фиолетовая Роза за 1 млн в тг Кирилл</t>
  </si>
  <si>
    <t>25 белых роз в тг Дмитрий</t>
  </si>
  <si>
    <t>сборный букет на 1 млн Ainur</t>
  </si>
  <si>
    <t>101 красная Роза за 1,5 млн в тг Roman</t>
  </si>
  <si>
    <t>5 гелиевых Шаров и 10 обычных с воздухом за 600к</t>
  </si>
  <si>
    <t>сборный букет за 1 млн в тг Артем</t>
  </si>
  <si>
    <t>101 Роза розовая в отель V, в вотс апе UltraOon</t>
  </si>
  <si>
    <t>51 Роза красная под ленту ( в тг Firestrike</t>
  </si>
  <si>
    <t>сборный букет за 1 млн донгов в тг Melli вечером в кафе заказать</t>
  </si>
  <si>
    <t>Шары на 1 млн донгов в тг Корнйский язык</t>
  </si>
  <si>
    <t>25 роз под ленту светло розовые в вотс ап</t>
  </si>
  <si>
    <t>51 Роза красная вечером в вотс ап 6561</t>
  </si>
  <si>
    <t>35 роз розовых утром в 7 утра Артём Жильцов</t>
  </si>
  <si>
    <t>101 Роза белая в океанус к 8:30 в тг Roman</t>
  </si>
  <si>
    <t>151 белая и 1 красная в центре за 2.250.000</t>
  </si>
  <si>
    <t>шары на 1 млн в тг Юлия</t>
  </si>
  <si>
    <t>2 букета ( 25 роз и лилии ) за 1.050.000 донгов</t>
  </si>
  <si>
    <t>сборный оранжевый букет в 23:45 не север в тг Исхак и 9 Шаров и сборный и подсолнухи за 4 млн</t>
  </si>
  <si>
    <t>2 букета 25 роз и лилии за 1.050.000 в вотс ап 32-11</t>
  </si>
  <si>
    <t>51 белая Роза в Свандор в Камрани за 1,6 млн</t>
  </si>
  <si>
    <t>101 Роза розовая в корзине за 1,7 млн в тг Andrey Baranov</t>
  </si>
  <si>
    <t>151 Роза из Греции в вотс ап</t>
  </si>
  <si>
    <t>101 розовая Роза в Western к 20:30</t>
  </si>
  <si>
    <t>101 розовая Роза на юге в 7:00 в тг Роман Васильев</t>
  </si>
  <si>
    <t>51 Роза Белая в белой упаковке</t>
  </si>
  <si>
    <t>Саше букет за 1 млн</t>
  </si>
  <si>
    <t>25 роз оранжевых в белой упаковке в тг 14:00</t>
  </si>
  <si>
    <t>25 красных роз дочке в тг тренер 20:00</t>
  </si>
  <si>
    <t>сборный букет за 2,5 млн донгов в тг Ola Smith</t>
  </si>
  <si>
    <t>пачка лилий за 600к донгов в вотс апе Amira</t>
  </si>
  <si>
    <t>2 букета по 51 Розе за 2 млн в тг флаг России</t>
  </si>
  <si>
    <t>101 красная в корзине за 2 млн на север в тг Артём</t>
  </si>
  <si>
    <t>25 роз красные в центр в тг Alex M</t>
  </si>
  <si>
    <t>151 Роза и 5 Шаров за 2,5 млн в тг Марина 7:30</t>
  </si>
  <si>
    <t>сборный букет и 4 шара в Камрань за 2.250.000 донгов за 2,5 млн</t>
  </si>
  <si>
    <t>4 пачки подсолнухов утром в сигнатуре</t>
  </si>
  <si>
    <t>151 белая Роза в черной упаковке в тг Valerii Smirnov</t>
  </si>
  <si>
    <t>151 розовая на анвьен в белой в тг Babur</t>
  </si>
  <si>
    <t>9 Шаров за 900.000 донгов</t>
  </si>
  <si>
    <t>45 роз в Аквамарин в Камрань за 1,5 млн в тг Алла Галимова</t>
  </si>
  <si>
    <t>101 красная Роза в 12:00 дня в вотс апе 49-46</t>
  </si>
  <si>
    <t>101 Роза нежно розовая в вотс апе 93-86</t>
  </si>
  <si>
    <t>25 роз розовых в тг</t>
  </si>
  <si>
    <t>51 красная Роза к 6 утра в тг Aleksei Konev</t>
  </si>
  <si>
    <t>25 белых роз в белой упаковке</t>
  </si>
  <si>
    <t>101 Роза розовая и 1 шар в Скайлайт</t>
  </si>
  <si>
    <t>15 Шаров обычных и цифра 2 большая за 750.000 донгов</t>
  </si>
  <si>
    <t>сборный букет в 7 утра в тг Ольга Жестовского</t>
  </si>
  <si>
    <t>51 Роза за 1 млн в тг Елизавета</t>
  </si>
  <si>
    <t>25 белых роз в вотс ап 4693</t>
  </si>
  <si>
    <t>25 белых роз в тг Е.В.</t>
  </si>
  <si>
    <t>101 Роза в корзине розовая в тг Артём</t>
  </si>
  <si>
    <t>51 розовая Роза на утро на 7 утра в тг Евгений</t>
  </si>
  <si>
    <t>51 красная Роза в тг К.К.</t>
  </si>
  <si>
    <t>25 роз белых и шар за 600к в тг Иван Мальков</t>
  </si>
  <si>
    <t>51 коралловая Роза в Свандор за 1.6 млн в тг Анастасия</t>
  </si>
  <si>
    <t>51 Роза розовая в 6:30 утра в тг soloquant</t>
  </si>
  <si>
    <t>сборный букет в 7:30 в тг Anastasia Log</t>
  </si>
  <si>
    <t>25 роз розовых в океанус к 10:00 в тг …</t>
  </si>
  <si>
    <t>шары цифра 3 и 6 Шаров в кармоань в вотсап Александра Киселева ( 10:15 )</t>
  </si>
  <si>
    <t>25 роз в 17:30 в тг Andrei Novik</t>
  </si>
  <si>
    <t>25 роз в тг Romashka 18:00</t>
  </si>
  <si>
    <t>151 Роза белая в Камрань к 6 утра</t>
  </si>
  <si>
    <t>7-8 утра сборный букет в инсте Андрей</t>
  </si>
  <si>
    <t>25 роз в nagar в инсте Алексей в 8:00</t>
  </si>
  <si>
    <t>25 роз розовых а 9 утра в вотс ап 21-20</t>
  </si>
  <si>
    <t>25 красных роз в Скения на севере 93-40</t>
  </si>
  <si>
    <t>51 Роза розовая на юг в тг Константин</t>
  </si>
  <si>
    <t>51 Роза в центре розовая в тг IG</t>
  </si>
  <si>
    <t>December отель в тг Dmitry 101 Роза Kazanok в 8:00 утра</t>
  </si>
  <si>
    <t>51 Роза в ресторан в 20:30 в тг Яков</t>
  </si>
  <si>
    <t>2 цифры и 5 Шаров за 1 млн в сигнатуре в 7 утра</t>
  </si>
  <si>
    <t>2 букета 51 розы , нежно розовые и коралловые в эмираль бей в вотс ап 0689 10:00</t>
  </si>
  <si>
    <t>2 букета по 101 Розе в Панаму в инсте моей личной Andrei</t>
  </si>
  <si>
    <t>25 роз красных в 7:50 beachfront в инсте</t>
  </si>
  <si>
    <t>25 розовых роз в 8 утра в тг Konstantinus</t>
  </si>
  <si>
    <t>25 роз и 5 Шаров в 15:00 в December в 15:00Яй</t>
  </si>
  <si>
    <t>101 розовая Роза в green hotel в инсте Алена в 19:00</t>
  </si>
  <si>
    <t>51 Роза и 5 Шаров за 1,5 млн в Голд Кост в тг Yakimets</t>
  </si>
  <si>
    <t>33 красные и связка 5 Шаров и 3 резиновых и 1 красная звезда в тг Viktoria за 1.250.000</t>
  </si>
  <si>
    <t>101 Роза в 7 утра в вотс ап 89-72 и 1 шар сердце красное</t>
  </si>
  <si>
    <t>сборный букет на 1 млн в вотс ап 84-85 к 11:00</t>
  </si>
  <si>
    <t>25 роз розовые на север к 12:30</t>
  </si>
  <si>
    <t>25 красных роз в Грин Бич в тг Алексей</t>
  </si>
  <si>
    <t>51 Роза и 3 шара сердца за 1,3 млн в тг Zayn</t>
  </si>
  <si>
    <t>101 Роза белая за 1,5 млн в тг Андрей Лазарев</t>
  </si>
  <si>
    <t>25 роз розовые на север подруге в инсте ya gelly</t>
  </si>
  <si>
    <t>25 роз и 3 Шаров за 800.000 в вотс ап 0421</t>
  </si>
  <si>
    <t>101 белая Роза в старсити в тг AI Wo</t>
  </si>
  <si>
    <t>25 красных роз в бичфронт в тг Андрей</t>
  </si>
  <si>
    <t>шары в 7:30 утра в тг Екатерина</t>
  </si>
  <si>
    <t>сборный букет на океанус в 12:00 в тг Olga K</t>
  </si>
  <si>
    <t>51 красная Роза и шары океанус в вотс ап 17-63 в 8 утра</t>
  </si>
  <si>
    <t>51 белая Роза утром доставка в тг Yerassyl</t>
  </si>
  <si>
    <t>101 Роза в отель Tui Blue в тг Юлия Эйрих</t>
  </si>
  <si>
    <t>25 роз оранжевых днем в тг Khalilov Roman</t>
  </si>
  <si>
    <t>25 роз в 7:00 утра в тг Юлия Миллер</t>
  </si>
  <si>
    <t>101 Роза в корзине красная в Павильон в 8 утра</t>
  </si>
  <si>
    <t>151 Роза красная в букете в the costa</t>
  </si>
  <si>
    <t>сборный букет и 3 шарика в вотс ап 15-19</t>
  </si>
  <si>
    <t>25 красных роз в Либоа в 7:30 утра в вотс ап 85 91</t>
  </si>
  <si>
    <t>25 роз оранжевые в 8 утра в Tui Blue</t>
  </si>
  <si>
    <t>25 белых роз на север в вотс апе 77-35 в 15:00</t>
  </si>
  <si>
    <t>2 букета по 25 роз красные и фиолетовые за 1 млн в 17:00</t>
  </si>
  <si>
    <t>101 Роза джумтлия в Камрань резорт в тг Сергей и 51 Роза в Камрань в</t>
  </si>
  <si>
    <t>51 Роза в он Влад за 1 млн</t>
  </si>
  <si>
    <t>25 роз нежно розовых в Винперл Бичфронт в вотс апе 5103</t>
  </si>
  <si>
    <t>сборный букет за 1.250.000 в Камрань в вотс ап 81 79 на 7:00 утра</t>
  </si>
  <si>
    <t>51 Роза розовая до 11:00 в тг Олег</t>
  </si>
  <si>
    <t>51 Роза девушке в тг Александр к 11:00 утра</t>
  </si>
  <si>
    <t>101 красная Роза на запад в 13:00 в тг ЛяМиНор</t>
  </si>
  <si>
    <t>25 роз в отель Виктория в тг Амиго</t>
  </si>
  <si>
    <t>101 Роза которая пахнет в Apus в тг Eugene в 7:00 утра</t>
  </si>
  <si>
    <t>10 пачек подсолнухов в арт нест в тг Наталья в 8:00 утра</t>
  </si>
  <si>
    <t>101 Роза в корзине в Камрань в тг Saodat</t>
  </si>
  <si>
    <t>25 роз в комоде в вотс ап 3555</t>
  </si>
  <si>
    <t>101 розовая Роза в океанус за usdt в вотс апе 1565</t>
  </si>
  <si>
    <t>51 красная Роза в Камрань селектум в 6 утра в тг Кирилл</t>
  </si>
  <si>
    <t>сборный букет в 8 утра в Камрань в вотс ап 07-04</t>
  </si>
  <si>
    <t>101 Роза красная в 15:00 в тг Марюс</t>
  </si>
  <si>
    <t>25 коралловых роз в Queen Ann в вотс ап 3727</t>
  </si>
  <si>
    <t>сборный букет за 1.250.000 Анне в тг Irina</t>
  </si>
  <si>
    <t>25 роз красных индусу в пост апе 08522</t>
  </si>
  <si>
    <t>25 роз и конфеты за 700.000 донгов в тг Валерия</t>
  </si>
  <si>
    <t>151 Роза бело розовая в тг Артём</t>
  </si>
  <si>
    <t>101 красная Роза в Эмпаир в 7 утра в тг Ann Ann</t>
  </si>
  <si>
    <t>сборный большой за 2.250.000 в Скению в 10:00 в тг M V X</t>
  </si>
  <si>
    <t>сборный букет в Винперл в вотс ап 18-04</t>
  </si>
  <si>
    <t>5 пачек лилий зер пойми куда в тг Никита Мороз</t>
  </si>
  <si>
    <t>101 Роза красная на чампу в вотс ап 3154</t>
  </si>
  <si>
    <t>сборный букет за 1.250.000 в тг Анастасия Зотова</t>
  </si>
  <si>
    <t>сборный большой в 6 утра в Камрань в вотс ап 1514</t>
  </si>
  <si>
    <t>101 Роза в корзине красная на север в 11:30</t>
  </si>
  <si>
    <t>2 букета по 25 роз Алану за 1 млн</t>
  </si>
  <si>
    <t>2 букета лилий за 1.1 млн на запад в тг Dave</t>
  </si>
  <si>
    <t>3 пачки Шариков в тг Мария в 6:45 утра юг</t>
  </si>
  <si>
    <t>25 роз с эфкалиптом в вива да Кораль в тг Елизавета</t>
  </si>
  <si>
    <t>25 роз розовых за 500.000 донгов в вотс ап 7610</t>
  </si>
  <si>
    <t>101 красная Роза в корзине в вотс ап 0759</t>
  </si>
  <si>
    <t>51 красная Роза в Queen ann в пост ап 38 01</t>
  </si>
  <si>
    <t>25 нежно розовых роз в вотс ап 61 99</t>
  </si>
  <si>
    <t>25 роз белых в Скению в тг trc</t>
  </si>
  <si>
    <t>25 розовых роз в 6 утра Гавана в вотс ап 51-71</t>
  </si>
  <si>
    <t>25 роз розовых в 20:00 океанус в инсте pay-Elena</t>
  </si>
  <si>
    <t>51 Роза розовая Сане для Вики в тг Yung</t>
  </si>
  <si>
    <t>сборный букет за 1.250.000 в вотс ап Казахстан 7078</t>
  </si>
  <si>
    <t>в Камрань 101 Роза в Амилия в тг Leonard</t>
  </si>
  <si>
    <t>51 белая Роза на юге в тг Марина</t>
  </si>
  <si>
    <t>25 роз розовых в Queen Ann в тг Немшилов</t>
  </si>
  <si>
    <t>корзина 101 Роза и 20 шары цифры набор Шаров S и сердце за 100$</t>
  </si>
  <si>
    <t>25 роз в 6 утра в отель anova в вотс ап 16-63</t>
  </si>
  <si>
    <t>35 Шариков светло фиолетовых за 1,5 млн донгов</t>
  </si>
  <si>
    <t>набор Шаров M и доп шары за 1.650.000 в Гавану</t>
  </si>
  <si>
    <t>101 Роза в корзине Джумилия в Панаму за 2 млн</t>
  </si>
  <si>
    <t>51 Роза и набор S шары в Камрань за 2.6 млн в 7:30 утра</t>
  </si>
  <si>
    <t>25 роз в D quê в вотс ап 40-49</t>
  </si>
  <si>
    <t>51 Роза белая в вотс ап</t>
  </si>
  <si>
    <t>101 Роза красная в красной упаковке</t>
  </si>
  <si>
    <t>в 6 утра 25 роз и набор М в Камрань за 2.6 млн в вотс ап 55-78</t>
  </si>
  <si>
    <t>набор L в Панаму в 10:00 в тг Татьяна К за 2 млн</t>
  </si>
  <si>
    <t>набор S ( 7 Шаров ) за 1 млн в 22:00</t>
  </si>
  <si>
    <t>151 Роза в Амиана в вотс ап 44-44</t>
  </si>
  <si>
    <t>25 красных роз в 7 утра в December</t>
  </si>
  <si>
    <t>51 белая Роза в красное солнце в вотс ап 70-30 в 7:30 утра</t>
  </si>
  <si>
    <t>1 пачка лилий в гранд гуся в 7:45 в вотс ап 16-23</t>
  </si>
  <si>
    <t>25 розовых роз в 8 утра в сигнатуре</t>
  </si>
  <si>
    <t>25 роз и набор Шаров S в Erica отель в вотс ап за 1,5 млн 38-96 в 8:00</t>
  </si>
  <si>
    <t>201 белая Роза в Амиану в 8:30 утра в вотс ап 5555</t>
  </si>
  <si>
    <t>51 Роза розовая в Камрань за 1.6 млн в вотс ап 64-97 в 9:00 утра</t>
  </si>
  <si>
    <t>1 пачка лилий за 600.000 донгов в вотс ап 505 421</t>
  </si>
  <si>
    <t>101 Роза красная и 101 Роза белая Nikita TG</t>
  </si>
  <si>
    <t>51 Роза белая с эфкалиптом на север за 1 млн</t>
  </si>
  <si>
    <t>51 белая Роза в отель весна в тг</t>
  </si>
  <si>
    <t>51 розовая Роза за 1 млн доставка в тг .</t>
  </si>
  <si>
    <t>25 роз белых в Панаму за 500к в вотс ап 50-25 в 9 утра</t>
  </si>
  <si>
    <t>25 роз красные за 500к в Панаму в 13:00 в вотс ап 03-97</t>
  </si>
  <si>
    <t>25 роз белых в dque за 500к в вотс ап 848-438</t>
  </si>
  <si>
    <t>25 роз в Марину у чодама в вотс ап 1740</t>
  </si>
  <si>
    <t>25 роз красных December в тг Александр Железнов</t>
  </si>
  <si>
    <t>25 роз в инсте казах за 500к на карту Алана</t>
  </si>
  <si>
    <t>101 красная Роза в вотс ап 40-96 в 6 утра Панорама</t>
  </si>
  <si>
    <t>25 розовых роз в 6:20 утра в тг Егор Емелин</t>
  </si>
  <si>
    <t>25 красных роз в 6:45 на канатку в тг Roman</t>
  </si>
  <si>
    <t>25 роз в 13:00 в Maple в вотс ап 98-87</t>
  </si>
  <si>
    <t>25 роз в 18:00 в Малия в центре в тг Александр</t>
  </si>
  <si>
    <t>набор Шаров S за 1 млн в Камрань за 1,6 млн в тг Ksenia</t>
  </si>
  <si>
    <t>набор S за 1 млн в Queen Ann в 5 утра в вотс ап 27-46</t>
  </si>
  <si>
    <t>51 Роза на 8:30 утра в CostaBella</t>
  </si>
  <si>
    <t>сборный букет за 1.250.000 в инсте azhar в 9:00 утра</t>
  </si>
  <si>
    <t>101 красная в корзине в Камрань в тг Юлия в 14:00</t>
  </si>
  <si>
    <t>101 красная Роза в December в тг Грицюк Родион в 21:00</t>
  </si>
  <si>
    <t>101 розовая Роза в Камрань в тг Nebesnaya Yana за 2.1 млн</t>
  </si>
  <si>
    <t>сборный букет за 1.250.000 красный в тг Alex Morison</t>
  </si>
  <si>
    <t>25 роз в 7 утра отель Скарлет вотс ап 39-36</t>
  </si>
  <si>
    <t>Набор S и 101 Роза за 2.5 млн в тг Renat в 9:00 утра</t>
  </si>
  <si>
    <t>2 корзины по 101 Розе , красные и белые , в Empire , в вотс ап Denis Stepanov за 4 млн в 9:30</t>
  </si>
  <si>
    <t>набор L за 2 млн в вотс ап 4017 в 12:00</t>
  </si>
  <si>
    <t>151 Роза фиолетовая в Лакшери Мунтань в 15:00 за 2.250.000 в тг вкидбутовски</t>
  </si>
  <si>
    <t>31 Роза за 650.000 донгов в тг Екатерина Мотовилова</t>
  </si>
  <si>
    <t>25 роз розовых в Tai Blu в 11:30 в вотс ап 00-72</t>
  </si>
  <si>
    <t>51 Роза белая с эвкалиптом за 1 млн в тг Высоцкий</t>
  </si>
  <si>
    <t>101 Роза и 15 роз и набор Шаров М в мунтань в тг Lucky Guy в 5:30</t>
  </si>
  <si>
    <t>101 красная Роза за 1.5 млн в Ангора в 6 утра в вотс ап 46-02</t>
  </si>
  <si>
    <t>сборный букет за 1.250.000 в Гонсалия в 7 утра в вотс ап 09-43</t>
  </si>
  <si>
    <t>51 коралловая Роза в регалию Голд в вотс ап 60-22 в 7:00 утра</t>
  </si>
  <si>
    <t>25 розовых роз в Регалия Голд в 6 утра</t>
  </si>
  <si>
    <t>25 розовых роз в Сигнатуре в вотс ап 53-35 в 7 утра</t>
  </si>
  <si>
    <t>51 Роза розовая в Панараму в 8:30 утра в тг</t>
  </si>
  <si>
    <t>51 белая Роза в Винперл бичфронт за 1 млн в вотс ап 92-01</t>
  </si>
  <si>
    <t>25 роз розовых в инсте Aiten Atakisheva в 8 утра</t>
  </si>
  <si>
    <t>набор S 7 Шаров красных сердец в инсте Адель за 1 млн в 19:00</t>
  </si>
  <si>
    <t>набор L за 2 млн в инсте Полина в океанус в 22:30</t>
  </si>
  <si>
    <t>35 роз за 700к на пн вьен в тг Ярослав Князев</t>
  </si>
  <si>
    <t>51 Роза белая с эфкалиптом в Панаму в вотс апе 68-60</t>
  </si>
  <si>
    <t>25 роз красных в 6 утра Vinpearl Beachfront в вотс ап 90-98</t>
  </si>
  <si>
    <t>101 Роза нежно розовая в отель Весна в тг Никита Чирков в 6 утра</t>
  </si>
  <si>
    <t>101 Роза в корзине и набор L в Камрань за 4,6 млн в 8:00 утра в Алма в инст Александр</t>
  </si>
  <si>
    <t>25 роз красных в вотс ап 67-21 в 19:00 ( KOR )</t>
  </si>
  <si>
    <t>25 роз оранжевых и набор S за 1,5 млн в вотс ап Yuli</t>
  </si>
  <si>
    <t>25 роз и шарик за 650.000 донгов в вотс ап 99-82</t>
  </si>
  <si>
    <t>2 букета по 101 Розе белая и красная в Винком Плаза в вотс ап 85-58 за 3 млн</t>
  </si>
  <si>
    <t>51 Роза джумилия W hotel в вотс ап 00-95</t>
  </si>
  <si>
    <t>Денис Доброходов в тг сборный за 1.250.000 в Tụi Blue в 6 утра</t>
  </si>
  <si>
    <t>101 Роза в корзине на канатку в 7 утра за 2 млн в инст d_alty</t>
  </si>
  <si>
    <t>51 Роза белая в Панаму 32-43 за 1 млн к 8:30</t>
  </si>
  <si>
    <t>101 Роза фиолетовая на север в Bottom Blu в 9 утра в тг Петр Куклин</t>
  </si>
  <si>
    <t>101 Роза огненная на север в 10:00 утра в тг Eve Art</t>
  </si>
  <si>
    <t>набор Шаров S в 21:00 в инсте Надя</t>
  </si>
  <si>
    <t>31 Роза Охара в Амиану за 650к в тг Оксана Герасимова</t>
  </si>
  <si>
    <t>101 Роза в корзине и набор Шаров М за 3,5 млн в вотс ап 26-64</t>
  </si>
  <si>
    <t>101 Роза в корзине бело розовая в Луизиану 88-75</t>
  </si>
  <si>
    <t>1 пачка эустом в букет в Adamas к 7 утра в тг Alex</t>
  </si>
  <si>
    <t>51 Роза в 7 утра в Gosia в тг Vladislav</t>
  </si>
  <si>
    <t>51 Роза в Амиану в тг G S в Амиану за 1.6 млн в 9 утра</t>
  </si>
  <si>
    <t>101 Роза в корзине и набор Шаров L за 4 млн в тг Andrey Media</t>
  </si>
  <si>
    <t>25 красных роз в весна отель в тг Tulkin</t>
  </si>
  <si>
    <t>51 розовая Роза в Эмпаир в тг Pavel E</t>
  </si>
  <si>
    <t>сборный букет за 1.250.000 в dque в тг Danila</t>
  </si>
  <si>
    <t>101 красная Роза в черной упаковке в Queen Ann в тг Олег</t>
  </si>
  <si>
    <t>51 Роза и 2 букета по 25 роз за 2 млн в Гавану в вотс ап 32-13</t>
  </si>
  <si>
    <t>51 Роза в Камрань в инст Dexco</t>
  </si>
  <si>
    <t>25 роз в DB в 6 утра в тг Арина Шекщуева</t>
  </si>
  <si>
    <t>25 роз в Joe Trip в тг Руслан 25 роз розовых в 8 утра</t>
  </si>
  <si>
    <t>25 роз на север в тг Maks в 8 утра</t>
  </si>
  <si>
    <t>25 роз в Арт Нест в тг А К в 9 утра</t>
  </si>
  <si>
    <t>25 красных роз и шар с др в океанус в 12:00 утра в тг Michael</t>
  </si>
  <si>
    <t>25 роз розовых и набор S в тг Лариса Соболева за 2.1 млн в Камрань</t>
  </si>
  <si>
    <t>25 красных роз в вотс ап 95-45</t>
  </si>
  <si>
    <t>101 Роза розовая и 5 Шаров в 6:30 на канатке за 2.250.000 в вотс ап 88-88</t>
  </si>
  <si>
    <t>набор Шаров S в diamonds bay в инст burkova777 в 10:00 утра</t>
  </si>
  <si>
    <t>25 роз оранжевых в отель Эмпаир в тг Максим</t>
  </si>
  <si>
    <t>51 Роза фиолетовая в 6:30 утра в тг Катерина</t>
  </si>
  <si>
    <t>25 роз розовых в Комодо в 7:30 в вотс ап 00-07</t>
  </si>
  <si>
    <t>25 розовых роз в Регалию в 7:30 в вотс ап 70-03</t>
  </si>
  <si>
    <t>51 Роза с эфкалиптом в Best Western в вотс ап 64-37</t>
  </si>
  <si>
    <t>25 роз в отель весна в тг Анна Бобкова в 12:00 дня</t>
  </si>
  <si>
    <t>сборный букет за 1.250.000</t>
  </si>
  <si>
    <t>51 фиолетовая Роза за 1 млн</t>
  </si>
  <si>
    <t>Набор Шаров S на Чампу, торт и свечи в вотс ап 79-06</t>
  </si>
  <si>
    <t>101 белая Роза и набор Шаров M в инсте y_ar_ik</t>
  </si>
  <si>
    <t>набор М за 1,5 млн</t>
  </si>
  <si>
    <t>2 букета / пачка лилий и 25 белых роз в наполеон в 15:00 в тг Timofey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</si>
</sst>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.yy"/>
    <numFmt numFmtId="165" formatCode="dd.mm.yy"/>
  </numFmts>
  <fonts count="8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b/>
      <sz val="12.0"/>
      <color rgb="FFFFFFFF"/>
      <name val="Calibri"/>
      <scheme val="minor"/>
    </font>
    <font/>
    <font>
      <b/>
      <color theme="1"/>
      <name val="Calibri"/>
      <scheme val="minor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0687A"/>
        <bgColor rgb="FFC0687A"/>
      </patternFill>
    </fill>
    <fill>
      <patternFill patternType="solid">
        <fgColor rgb="FF2E7D32"/>
        <bgColor rgb="FF2E7D32"/>
      </patternFill>
    </fill>
    <fill>
      <patternFill patternType="solid">
        <fgColor rgb="FF7A3B49"/>
        <bgColor rgb="FF7A3B49"/>
      </patternFill>
    </fill>
    <fill>
      <patternFill patternType="solid">
        <fgColor rgb="FFC6EFCE"/>
        <bgColor rgb="FFC6EFCE"/>
      </patternFill>
    </fill>
    <fill>
      <patternFill patternType="solid">
        <fgColor rgb="FFE2F0D9"/>
        <bgColor rgb="FFE2F0D9"/>
      </patternFill>
    </fill>
  </fills>
  <borders count="9">
    <border/>
    <border>
      <left style="thin">
        <color rgb="FF7F7F7F"/>
      </left>
      <right style="thin">
        <color rgb="FF7F7F7F"/>
      </right>
      <top style="thin">
        <color rgb="FF7F7F7F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7F7F7F"/>
      </left>
      <right style="thin">
        <color rgb="FF7F7F7F"/>
      </right>
      <bottom style="thin">
        <color rgb="FF7F7F7F"/>
      </bottom>
    </border>
    <border>
      <left style="thin">
        <color rgb="FF7F7F7F"/>
      </left>
      <right style="thin">
        <color rgb="FF7F7F7F"/>
      </right>
      <top style="medium">
        <color rgb="FF000000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medium">
        <color rgb="FF000000"/>
      </top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2" fillId="3" fontId="3" numFmtId="0" xfId="0" applyAlignment="1" applyBorder="1" applyFill="1" applyFont="1">
      <alignment horizontal="center" shrinkToFit="0" vertical="center" wrapText="1"/>
    </xf>
    <xf borderId="3" fillId="4" fontId="4" numFmtId="0" xfId="0" applyAlignment="1" applyBorder="1" applyFill="1" applyFont="1">
      <alignment horizontal="center" readingOrder="0" vertical="center"/>
    </xf>
    <xf borderId="4" fillId="0" fontId="5" numFmtId="0" xfId="0" applyBorder="1" applyFont="1"/>
    <xf borderId="5" fillId="0" fontId="5" numFmtId="0" xfId="0" applyBorder="1" applyFont="1"/>
    <xf borderId="2" fillId="0" fontId="6" numFmtId="0" xfId="0" applyAlignment="1" applyBorder="1" applyFont="1">
      <alignment horizontal="center"/>
    </xf>
    <xf borderId="2" fillId="0" fontId="7" numFmtId="0" xfId="0" applyAlignment="1" applyBorder="1" applyFont="1">
      <alignment horizontal="center"/>
    </xf>
    <xf borderId="2" fillId="0" fontId="7" numFmtId="3" xfId="0" applyAlignment="1" applyBorder="1" applyFont="1" applyNumberFormat="1">
      <alignment horizontal="center"/>
    </xf>
    <xf borderId="6" fillId="5" fontId="7" numFmtId="0" xfId="0" applyAlignment="1" applyBorder="1" applyFill="1" applyFont="1">
      <alignment horizontal="center" readingOrder="0" shrinkToFit="0" vertical="center" wrapText="1"/>
    </xf>
    <xf borderId="6" fillId="5" fontId="7" numFmtId="164" xfId="0" applyAlignment="1" applyBorder="1" applyFont="1" applyNumberFormat="1">
      <alignment horizontal="center" readingOrder="0" shrinkToFit="0" vertical="center" wrapText="1"/>
    </xf>
    <xf borderId="6" fillId="5" fontId="7" numFmtId="20" xfId="0" applyAlignment="1" applyBorder="1" applyFont="1" applyNumberForma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6" fillId="5" fontId="7" numFmtId="3" xfId="0" applyAlignment="1" applyBorder="1" applyFont="1" applyNumberFormat="1">
      <alignment horizontal="center" shrinkToFit="0" vertical="center" wrapText="1"/>
    </xf>
    <xf borderId="6" fillId="5" fontId="7" numFmtId="3" xfId="0" applyAlignment="1" applyBorder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2" fillId="5" fontId="7" numFmtId="0" xfId="0" applyAlignment="1" applyBorder="1" applyFont="1">
      <alignment horizontal="center" readingOrder="0" shrinkToFit="0" vertical="center" wrapText="1"/>
    </xf>
    <xf borderId="2" fillId="5" fontId="7" numFmtId="164" xfId="0" applyAlignment="1" applyBorder="1" applyFont="1" applyNumberFormat="1">
      <alignment horizontal="center" readingOrder="0" shrinkToFit="0" vertical="center" wrapText="1"/>
    </xf>
    <xf borderId="2" fillId="5" fontId="7" numFmtId="20" xfId="0" applyAlignment="1" applyBorder="1" applyFont="1" applyNumberFormat="1">
      <alignment horizontal="center" readingOrder="0" shrinkToFit="0" vertical="center" wrapText="1"/>
    </xf>
    <xf borderId="2" fillId="5" fontId="7" numFmtId="0" xfId="0" applyAlignment="1" applyBorder="1" applyFont="1">
      <alignment horizontal="center" readingOrder="0" shrinkToFit="0" vertical="center" wrapText="1"/>
    </xf>
    <xf borderId="2" fillId="5" fontId="7" numFmtId="3" xfId="0" applyAlignment="1" applyBorder="1" applyFont="1" applyNumberFormat="1">
      <alignment horizontal="center" shrinkToFit="0" vertical="center" wrapText="1"/>
    </xf>
    <xf borderId="2" fillId="5" fontId="7" numFmtId="3" xfId="0" applyAlignment="1" applyBorder="1" applyFont="1" applyNumberFormat="1">
      <alignment horizontal="center" readingOrder="0" shrinkToFit="0" vertical="center" wrapText="1"/>
    </xf>
    <xf borderId="7" fillId="5" fontId="7" numFmtId="0" xfId="0" applyAlignment="1" applyBorder="1" applyFont="1">
      <alignment horizontal="center" readingOrder="0" shrinkToFit="0" vertical="center" wrapText="1"/>
    </xf>
    <xf borderId="7" fillId="5" fontId="7" numFmtId="164" xfId="0" applyAlignment="1" applyBorder="1" applyFont="1" applyNumberFormat="1">
      <alignment horizontal="center" readingOrder="0" shrinkToFit="0" vertical="center" wrapText="1"/>
    </xf>
    <xf borderId="7" fillId="5" fontId="7" numFmtId="20" xfId="0" applyAlignment="1" applyBorder="1" applyFont="1" applyNumberFormat="1">
      <alignment horizontal="center" readingOrder="0" shrinkToFit="0" vertical="center" wrapText="1"/>
    </xf>
    <xf borderId="7" fillId="5" fontId="7" numFmtId="0" xfId="0" applyAlignment="1" applyBorder="1" applyFont="1">
      <alignment horizontal="center" readingOrder="0" shrinkToFit="0" vertical="center" wrapText="1"/>
    </xf>
    <xf borderId="7" fillId="5" fontId="7" numFmtId="3" xfId="0" applyAlignment="1" applyBorder="1" applyFont="1" applyNumberFormat="1">
      <alignment horizontal="center" shrinkToFit="0" vertical="center" wrapText="1"/>
    </xf>
    <xf borderId="7" fillId="5" fontId="7" numFmtId="3" xfId="0" applyAlignment="1" applyBorder="1" applyFont="1" applyNumberFormat="1">
      <alignment horizontal="center" readingOrder="0" shrinkToFit="0" vertical="center" wrapText="1"/>
    </xf>
    <xf borderId="2" fillId="5" fontId="7" numFmtId="0" xfId="0" applyAlignment="1" applyBorder="1" applyFont="1">
      <alignment horizontal="center" shrinkToFit="0" vertical="center" wrapText="1"/>
    </xf>
    <xf borderId="7" fillId="5" fontId="7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2" fillId="6" fontId="6" numFmtId="0" xfId="0" applyAlignment="1" applyBorder="1" applyFill="1" applyFont="1">
      <alignment horizontal="center"/>
    </xf>
    <xf borderId="2" fillId="6" fontId="6" numFmtId="3" xfId="0" applyAlignment="1" applyBorder="1" applyFont="1" applyNumberFormat="1">
      <alignment horizontal="center"/>
    </xf>
    <xf borderId="1" fillId="5" fontId="7" numFmtId="0" xfId="0" applyAlignment="1" applyBorder="1" applyFont="1">
      <alignment horizontal="center" readingOrder="0" shrinkToFit="0" vertical="center" wrapText="1"/>
    </xf>
    <xf borderId="1" fillId="5" fontId="7" numFmtId="164" xfId="0" applyAlignment="1" applyBorder="1" applyFont="1" applyNumberFormat="1">
      <alignment horizontal="center" readingOrder="0" shrinkToFit="0" vertical="center" wrapText="1"/>
    </xf>
    <xf borderId="1" fillId="5" fontId="7" numFmtId="0" xfId="0" applyAlignment="1" applyBorder="1" applyFont="1">
      <alignment horizontal="center" shrinkToFit="0" vertical="center" wrapText="1"/>
    </xf>
    <xf borderId="1" fillId="5" fontId="7" numFmtId="0" xfId="0" applyAlignment="1" applyBorder="1" applyFont="1">
      <alignment horizontal="center" readingOrder="0" shrinkToFit="0" vertical="center" wrapText="1"/>
    </xf>
    <xf borderId="1" fillId="5" fontId="7" numFmtId="3" xfId="0" applyAlignment="1" applyBorder="1" applyFont="1" applyNumberFormat="1">
      <alignment horizontal="center" readingOrder="0" shrinkToFit="0" vertical="center" wrapText="1"/>
    </xf>
    <xf borderId="1" fillId="5" fontId="7" numFmtId="3" xfId="0" applyAlignment="1" applyBorder="1" applyFont="1" applyNumberFormat="1">
      <alignment horizontal="center" shrinkToFit="0" vertical="center" wrapText="1"/>
    </xf>
    <xf borderId="6" fillId="5" fontId="7" numFmtId="165" xfId="0" applyAlignment="1" applyBorder="1" applyFont="1" applyNumberFormat="1">
      <alignment horizontal="center" readingOrder="0" shrinkToFit="0" vertical="center" wrapText="1"/>
    </xf>
    <xf borderId="6" fillId="5" fontId="7" numFmtId="0" xfId="0" applyAlignment="1" applyBorder="1" applyFont="1">
      <alignment horizontal="center" shrinkToFit="0" vertical="center" wrapText="1"/>
    </xf>
    <xf borderId="2" fillId="5" fontId="7" numFmtId="165" xfId="0" applyAlignment="1" applyBorder="1" applyFont="1" applyNumberFormat="1">
      <alignment horizontal="center" readingOrder="0" shrinkToFit="0" vertical="center" wrapText="1"/>
    </xf>
    <xf borderId="7" fillId="5" fontId="7" numFmtId="165" xfId="0" applyAlignment="1" applyBorder="1" applyFont="1" applyNumberFormat="1">
      <alignment horizontal="center" readingOrder="0" shrinkToFit="0" vertical="center" wrapText="1"/>
    </xf>
    <xf borderId="8" fillId="5" fontId="7" numFmtId="0" xfId="0" applyAlignment="1" applyBorder="1" applyFont="1">
      <alignment horizontal="center" readingOrder="0" shrinkToFit="0" vertical="center" wrapText="1"/>
    </xf>
    <xf borderId="8" fillId="5" fontId="7" numFmtId="165" xfId="0" applyAlignment="1" applyBorder="1" applyFont="1" applyNumberFormat="1">
      <alignment horizontal="center" readingOrder="0" shrinkToFit="0" vertical="center" wrapText="1"/>
    </xf>
    <xf borderId="8" fillId="5" fontId="7" numFmtId="0" xfId="0" applyAlignment="1" applyBorder="1" applyFont="1">
      <alignment horizontal="center" shrinkToFit="0" vertical="center" wrapText="1"/>
    </xf>
    <xf borderId="8" fillId="5" fontId="7" numFmtId="0" xfId="0" applyAlignment="1" applyBorder="1" applyFont="1">
      <alignment horizontal="center" readingOrder="0" shrinkToFit="0" vertical="center" wrapText="1"/>
    </xf>
    <xf borderId="8" fillId="5" fontId="7" numFmtId="3" xfId="0" applyAlignment="1" applyBorder="1" applyFont="1" applyNumberFormat="1">
      <alignment horizontal="center" readingOrder="0" shrinkToFit="0" vertical="center" wrapText="1"/>
    </xf>
    <xf borderId="8" fillId="5" fontId="7" numFmtId="3" xfId="0" applyAlignment="1" applyBorder="1" applyFont="1" applyNumberFormat="1">
      <alignment horizontal="center" shrinkToFit="0" vertical="center" wrapText="1"/>
    </xf>
    <xf borderId="0" fillId="5" fontId="2" numFmtId="0" xfId="0" applyAlignment="1" applyFont="1">
      <alignment horizontal="center" readingOrder="0"/>
    </xf>
    <xf borderId="0" fillId="5" fontId="2" numFmtId="165" xfId="0" applyAlignment="1" applyFont="1" applyNumberFormat="1">
      <alignment horizontal="center" readingOrder="0"/>
    </xf>
    <xf borderId="0" fillId="5" fontId="2" numFmtId="20" xfId="0" applyAlignment="1" applyFont="1" applyNumberFormat="1">
      <alignment horizontal="center" readingOrder="0"/>
    </xf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165" xfId="0" applyAlignment="1" applyFont="1" applyNumberFormat="1">
      <alignment horizontal="center" readingOrder="0"/>
    </xf>
    <xf borderId="0" fillId="0" fontId="2" numFmtId="20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.0"/>
    <col customWidth="1" min="2" max="2" width="10.0"/>
    <col customWidth="1" min="3" max="3" width="8.0"/>
    <col customWidth="1" min="4" max="4" width="67.14"/>
    <col customWidth="1" min="5" max="7" width="15.0"/>
    <col customWidth="1" min="8" max="8" width="13.0"/>
    <col customWidth="1" min="9" max="9" width="14.0"/>
    <col customWidth="1" min="10" max="10" width="16.0"/>
    <col customWidth="1" hidden="1" min="11" max="11" width="13.0"/>
    <col customWidth="1" min="12" max="12" width="8.71"/>
    <col customWidth="1" min="13" max="18" width="15.0"/>
    <col customWidth="1" min="19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3"/>
      <c r="M1" s="4" t="s">
        <v>10</v>
      </c>
      <c r="N1" s="4" t="s">
        <v>11</v>
      </c>
      <c r="O1" s="4" t="s">
        <v>12</v>
      </c>
      <c r="P1" s="4" t="s">
        <v>5</v>
      </c>
      <c r="Q1" s="4" t="s">
        <v>7</v>
      </c>
      <c r="R1" s="4" t="s">
        <v>9</v>
      </c>
      <c r="S1" s="3"/>
      <c r="T1" s="3"/>
      <c r="U1" s="3"/>
      <c r="V1" s="3"/>
      <c r="W1" s="3"/>
      <c r="X1" s="3"/>
      <c r="Y1" s="3"/>
      <c r="Z1" s="3"/>
    </row>
    <row r="2">
      <c r="A2" s="5" t="s">
        <v>13</v>
      </c>
      <c r="B2" s="6"/>
      <c r="C2" s="6"/>
      <c r="D2" s="6"/>
      <c r="E2" s="6"/>
      <c r="F2" s="6"/>
      <c r="G2" s="6"/>
      <c r="H2" s="6"/>
      <c r="I2" s="6"/>
      <c r="J2" s="7"/>
      <c r="K2" s="3"/>
      <c r="L2" s="3"/>
      <c r="M2" s="8" t="s">
        <v>13</v>
      </c>
      <c r="N2" s="9">
        <f t="shared" ref="N2:N8" si="1">COUNTIF($K:$K,M2)</f>
        <v>11</v>
      </c>
      <c r="O2" s="10">
        <f t="shared" ref="O2:O8" si="2">SUMIF($K:$K,M2,$E:$E)</f>
        <v>13150000</v>
      </c>
      <c r="P2" s="10">
        <f t="shared" ref="P2:P8" si="3">SUMIF($K:$K,M2,$F:$F)</f>
        <v>7900000</v>
      </c>
      <c r="Q2" s="10">
        <f t="shared" ref="Q2:Q8" si="4">SUMIF($K:$K,M2,$H:$H)</f>
        <v>0</v>
      </c>
      <c r="R2" s="10">
        <f t="shared" ref="R2:R8" si="5">SUMIF($K:$K,M2,$J:$J)</f>
        <v>5250000</v>
      </c>
      <c r="S2" s="3"/>
      <c r="T2" s="3"/>
      <c r="U2" s="3"/>
      <c r="V2" s="3"/>
      <c r="W2" s="3"/>
      <c r="X2" s="3"/>
      <c r="Y2" s="3"/>
      <c r="Z2" s="3"/>
    </row>
    <row r="3">
      <c r="A3" s="11">
        <v>1.0</v>
      </c>
      <c r="B3" s="12">
        <v>46010.0</v>
      </c>
      <c r="C3" s="13">
        <v>0.7916666666678793</v>
      </c>
      <c r="D3" s="14" t="s">
        <v>14</v>
      </c>
      <c r="E3" s="15"/>
      <c r="F3" s="15"/>
      <c r="G3" s="15"/>
      <c r="H3" s="15"/>
      <c r="I3" s="15"/>
      <c r="J3" s="16">
        <f t="shared" ref="J3:J13" si="6">N(E3)-N(F3)-N(G3)-N(H3)-N(I3)</f>
        <v>0</v>
      </c>
      <c r="K3" s="17" t="s">
        <v>13</v>
      </c>
      <c r="L3" s="3"/>
      <c r="M3" s="8" t="s">
        <v>15</v>
      </c>
      <c r="N3" s="9">
        <f t="shared" si="1"/>
        <v>38</v>
      </c>
      <c r="O3" s="10">
        <f t="shared" si="2"/>
        <v>36600000</v>
      </c>
      <c r="P3" s="10">
        <f t="shared" si="3"/>
        <v>16790000</v>
      </c>
      <c r="Q3" s="10">
        <f t="shared" si="4"/>
        <v>7800000</v>
      </c>
      <c r="R3" s="10">
        <f t="shared" si="5"/>
        <v>11310000</v>
      </c>
      <c r="S3" s="3"/>
      <c r="T3" s="3"/>
      <c r="U3" s="3"/>
      <c r="V3" s="3"/>
      <c r="W3" s="3"/>
      <c r="X3" s="3"/>
      <c r="Y3" s="3"/>
      <c r="Z3" s="3"/>
    </row>
    <row r="4">
      <c r="A4" s="18">
        <v>2.0</v>
      </c>
      <c r="B4" s="19">
        <v>46010.0</v>
      </c>
      <c r="C4" s="20">
        <v>0.9166666666678793</v>
      </c>
      <c r="D4" s="21" t="s">
        <v>16</v>
      </c>
      <c r="E4" s="22"/>
      <c r="F4" s="22"/>
      <c r="G4" s="22"/>
      <c r="H4" s="22"/>
      <c r="I4" s="22"/>
      <c r="J4" s="23">
        <f t="shared" si="6"/>
        <v>0</v>
      </c>
      <c r="K4" s="17" t="s">
        <v>13</v>
      </c>
      <c r="L4" s="3"/>
      <c r="M4" s="8" t="s">
        <v>17</v>
      </c>
      <c r="N4" s="9">
        <f t="shared" si="1"/>
        <v>58</v>
      </c>
      <c r="O4" s="10">
        <f t="shared" si="2"/>
        <v>74850000</v>
      </c>
      <c r="P4" s="10">
        <f t="shared" si="3"/>
        <v>32250000</v>
      </c>
      <c r="Q4" s="10">
        <f t="shared" si="4"/>
        <v>7800000</v>
      </c>
      <c r="R4" s="10">
        <f t="shared" si="5"/>
        <v>30880000</v>
      </c>
      <c r="S4" s="3"/>
      <c r="T4" s="3"/>
      <c r="U4" s="3"/>
      <c r="V4" s="3"/>
      <c r="W4" s="3"/>
      <c r="X4" s="3"/>
      <c r="Y4" s="3"/>
      <c r="Z4" s="3"/>
    </row>
    <row r="5">
      <c r="A5" s="24">
        <v>3.0</v>
      </c>
      <c r="B5" s="25">
        <v>46011.0</v>
      </c>
      <c r="C5" s="26">
        <v>0.375</v>
      </c>
      <c r="D5" s="27" t="s">
        <v>18</v>
      </c>
      <c r="E5" s="28"/>
      <c r="F5" s="28"/>
      <c r="G5" s="28"/>
      <c r="H5" s="28"/>
      <c r="I5" s="28"/>
      <c r="J5" s="29">
        <f t="shared" si="6"/>
        <v>0</v>
      </c>
      <c r="K5" s="17" t="s">
        <v>13</v>
      </c>
      <c r="L5" s="3"/>
      <c r="M5" s="8" t="s">
        <v>19</v>
      </c>
      <c r="N5" s="9">
        <f t="shared" si="1"/>
        <v>84</v>
      </c>
      <c r="O5" s="10">
        <f t="shared" si="2"/>
        <v>114100000</v>
      </c>
      <c r="P5" s="10">
        <f t="shared" si="3"/>
        <v>52700000</v>
      </c>
      <c r="Q5" s="10">
        <f t="shared" si="4"/>
        <v>7800000</v>
      </c>
      <c r="R5" s="10">
        <f t="shared" si="5"/>
        <v>51800000</v>
      </c>
      <c r="S5" s="3"/>
      <c r="T5" s="3"/>
      <c r="U5" s="3"/>
      <c r="V5" s="3"/>
      <c r="W5" s="3"/>
      <c r="X5" s="3"/>
      <c r="Y5" s="3"/>
      <c r="Z5" s="3"/>
    </row>
    <row r="6">
      <c r="A6" s="18">
        <v>4.0</v>
      </c>
      <c r="B6" s="19">
        <v>46011.0</v>
      </c>
      <c r="C6" s="20">
        <v>0.6666666666678793</v>
      </c>
      <c r="D6" s="21" t="s">
        <v>20</v>
      </c>
      <c r="E6" s="22"/>
      <c r="F6" s="22"/>
      <c r="G6" s="22"/>
      <c r="H6" s="22"/>
      <c r="I6" s="22"/>
      <c r="J6" s="23">
        <f t="shared" si="6"/>
        <v>0</v>
      </c>
      <c r="K6" s="17" t="s">
        <v>13</v>
      </c>
      <c r="L6" s="3"/>
      <c r="M6" s="8" t="s">
        <v>21</v>
      </c>
      <c r="N6" s="9">
        <f t="shared" si="1"/>
        <v>110</v>
      </c>
      <c r="O6" s="10">
        <f t="shared" si="2"/>
        <v>128050000</v>
      </c>
      <c r="P6" s="10">
        <f t="shared" si="3"/>
        <v>49705000</v>
      </c>
      <c r="Q6" s="10">
        <f t="shared" si="4"/>
        <v>9200000</v>
      </c>
      <c r="R6" s="10">
        <f t="shared" si="5"/>
        <v>65305000</v>
      </c>
      <c r="S6" s="3"/>
      <c r="T6" s="3"/>
      <c r="U6" s="3"/>
      <c r="V6" s="3"/>
      <c r="W6" s="3"/>
      <c r="X6" s="3"/>
      <c r="Y6" s="3"/>
      <c r="Z6" s="3"/>
    </row>
    <row r="7">
      <c r="A7" s="18">
        <v>5.0</v>
      </c>
      <c r="B7" s="19">
        <v>46011.0</v>
      </c>
      <c r="C7" s="30"/>
      <c r="D7" s="21" t="s">
        <v>22</v>
      </c>
      <c r="E7" s="22"/>
      <c r="F7" s="22"/>
      <c r="G7" s="22"/>
      <c r="H7" s="22"/>
      <c r="I7" s="22"/>
      <c r="J7" s="23">
        <f t="shared" si="6"/>
        <v>0</v>
      </c>
      <c r="K7" s="17" t="s">
        <v>13</v>
      </c>
      <c r="L7" s="3"/>
      <c r="M7" s="8" t="s">
        <v>23</v>
      </c>
      <c r="N7" s="9">
        <f t="shared" si="1"/>
        <v>107</v>
      </c>
      <c r="O7" s="10">
        <f t="shared" si="2"/>
        <v>140850000</v>
      </c>
      <c r="P7" s="10">
        <f t="shared" si="3"/>
        <v>50590000</v>
      </c>
      <c r="Q7" s="10">
        <f t="shared" si="4"/>
        <v>10200000</v>
      </c>
      <c r="R7" s="10">
        <f t="shared" si="5"/>
        <v>70289000</v>
      </c>
      <c r="S7" s="3"/>
      <c r="T7" s="3"/>
      <c r="U7" s="3"/>
      <c r="V7" s="3"/>
      <c r="W7" s="3"/>
      <c r="X7" s="3"/>
      <c r="Y7" s="3"/>
      <c r="Z7" s="3"/>
    </row>
    <row r="8">
      <c r="A8" s="24">
        <v>6.0</v>
      </c>
      <c r="B8" s="25">
        <v>46013.0</v>
      </c>
      <c r="C8" s="31"/>
      <c r="D8" s="27" t="s">
        <v>24</v>
      </c>
      <c r="E8" s="28"/>
      <c r="F8" s="28"/>
      <c r="G8" s="28"/>
      <c r="H8" s="28"/>
      <c r="I8" s="28"/>
      <c r="J8" s="29">
        <f t="shared" si="6"/>
        <v>0</v>
      </c>
      <c r="K8" s="17" t="s">
        <v>13</v>
      </c>
      <c r="L8" s="3"/>
      <c r="M8" s="8" t="s">
        <v>25</v>
      </c>
      <c r="N8" s="9">
        <f t="shared" si="1"/>
        <v>24</v>
      </c>
      <c r="O8" s="10">
        <f t="shared" si="2"/>
        <v>0</v>
      </c>
      <c r="P8" s="10">
        <f t="shared" si="3"/>
        <v>0</v>
      </c>
      <c r="Q8" s="10">
        <f t="shared" si="4"/>
        <v>0</v>
      </c>
      <c r="R8" s="10">
        <f t="shared" si="5"/>
        <v>0</v>
      </c>
      <c r="S8" s="3"/>
      <c r="T8" s="3"/>
      <c r="U8" s="3"/>
      <c r="V8" s="3"/>
      <c r="W8" s="3"/>
      <c r="X8" s="3"/>
      <c r="Y8" s="3"/>
      <c r="Z8" s="3"/>
    </row>
    <row r="9">
      <c r="A9" s="24">
        <v>7.0</v>
      </c>
      <c r="B9" s="25">
        <v>46018.0</v>
      </c>
      <c r="C9" s="31"/>
      <c r="D9" s="27" t="s">
        <v>26</v>
      </c>
      <c r="E9" s="28"/>
      <c r="F9" s="28"/>
      <c r="G9" s="28"/>
      <c r="H9" s="28"/>
      <c r="I9" s="28"/>
      <c r="J9" s="29">
        <f t="shared" si="6"/>
        <v>0</v>
      </c>
      <c r="K9" s="17" t="s">
        <v>13</v>
      </c>
      <c r="L9" s="3"/>
      <c r="M9" s="32" t="s">
        <v>27</v>
      </c>
      <c r="N9" s="33">
        <f t="shared" ref="N9:R9" si="7">SUM(N2:N8)</f>
        <v>432</v>
      </c>
      <c r="O9" s="34">
        <f t="shared" si="7"/>
        <v>507600000</v>
      </c>
      <c r="P9" s="34">
        <f t="shared" si="7"/>
        <v>209935000</v>
      </c>
      <c r="Q9" s="34">
        <f t="shared" si="7"/>
        <v>42800000</v>
      </c>
      <c r="R9" s="34">
        <f t="shared" si="7"/>
        <v>234834000</v>
      </c>
      <c r="S9" s="3"/>
      <c r="T9" s="3"/>
      <c r="U9" s="3"/>
      <c r="V9" s="3"/>
      <c r="W9" s="3"/>
      <c r="X9" s="3"/>
      <c r="Y9" s="3"/>
      <c r="Z9" s="3"/>
    </row>
    <row r="10">
      <c r="A10" s="24">
        <v>8.0</v>
      </c>
      <c r="B10" s="25">
        <v>46021.0</v>
      </c>
      <c r="C10" s="31"/>
      <c r="D10" s="27" t="s">
        <v>28</v>
      </c>
      <c r="E10" s="28"/>
      <c r="F10" s="28"/>
      <c r="G10" s="28"/>
      <c r="H10" s="28"/>
      <c r="I10" s="28"/>
      <c r="J10" s="29">
        <f t="shared" si="6"/>
        <v>0</v>
      </c>
      <c r="K10" s="17" t="s">
        <v>13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24">
        <v>9.0</v>
      </c>
      <c r="B11" s="25">
        <v>46022.0</v>
      </c>
      <c r="C11" s="31"/>
      <c r="D11" s="27" t="s">
        <v>29</v>
      </c>
      <c r="E11" s="28"/>
      <c r="F11" s="28"/>
      <c r="G11" s="28"/>
      <c r="H11" s="28"/>
      <c r="I11" s="28"/>
      <c r="J11" s="29">
        <f t="shared" si="6"/>
        <v>0</v>
      </c>
      <c r="K11" s="17" t="s">
        <v>13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8">
        <v>10.0</v>
      </c>
      <c r="B12" s="19">
        <v>46022.0</v>
      </c>
      <c r="C12" s="30"/>
      <c r="D12" s="21" t="s">
        <v>30</v>
      </c>
      <c r="E12" s="22"/>
      <c r="F12" s="22"/>
      <c r="G12" s="22"/>
      <c r="H12" s="22"/>
      <c r="I12" s="22"/>
      <c r="J12" s="23">
        <f t="shared" si="6"/>
        <v>0</v>
      </c>
      <c r="K12" s="17" t="s">
        <v>13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5">
        <v>11.0</v>
      </c>
      <c r="B13" s="36">
        <v>46022.0</v>
      </c>
      <c r="C13" s="37"/>
      <c r="D13" s="38" t="s">
        <v>31</v>
      </c>
      <c r="E13" s="39">
        <v>1.315E7</v>
      </c>
      <c r="F13" s="39">
        <v>7900000.0</v>
      </c>
      <c r="G13" s="40"/>
      <c r="H13" s="40"/>
      <c r="I13" s="40"/>
      <c r="J13" s="39">
        <f t="shared" si="6"/>
        <v>5250000</v>
      </c>
      <c r="K13" s="17" t="s">
        <v>13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5" t="s">
        <v>15</v>
      </c>
      <c r="B14" s="6"/>
      <c r="C14" s="6"/>
      <c r="D14" s="6"/>
      <c r="E14" s="6"/>
      <c r="F14" s="6"/>
      <c r="G14" s="6"/>
      <c r="H14" s="6"/>
      <c r="I14" s="6"/>
      <c r="J14" s="7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1">
        <v>12.0</v>
      </c>
      <c r="B15" s="41">
        <v>46024.0</v>
      </c>
      <c r="C15" s="42"/>
      <c r="D15" s="14" t="s">
        <v>32</v>
      </c>
      <c r="E15" s="15"/>
      <c r="F15" s="15"/>
      <c r="G15" s="15"/>
      <c r="H15" s="15"/>
      <c r="I15" s="15"/>
      <c r="J15" s="16">
        <f t="shared" ref="J15:J52" si="8">N(E15)-N(F15)-N(G15)-N(H15)-N(I15)</f>
        <v>0</v>
      </c>
      <c r="K15" s="17" t="s">
        <v>15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8">
        <v>13.0</v>
      </c>
      <c r="B16" s="43">
        <v>46024.0</v>
      </c>
      <c r="C16" s="30"/>
      <c r="D16" s="21" t="s">
        <v>33</v>
      </c>
      <c r="E16" s="23">
        <v>1200000.0</v>
      </c>
      <c r="F16" s="23">
        <v>700000.0</v>
      </c>
      <c r="G16" s="23">
        <v>55000.0</v>
      </c>
      <c r="H16" s="22"/>
      <c r="I16" s="22"/>
      <c r="J16" s="23">
        <f t="shared" si="8"/>
        <v>445000</v>
      </c>
      <c r="K16" s="17" t="s">
        <v>15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4">
        <v>14.0</v>
      </c>
      <c r="B17" s="44">
        <v>46027.0</v>
      </c>
      <c r="C17" s="31"/>
      <c r="D17" s="27" t="s">
        <v>34</v>
      </c>
      <c r="E17" s="29">
        <v>500000.0</v>
      </c>
      <c r="F17" s="29">
        <v>250000.0</v>
      </c>
      <c r="G17" s="29">
        <v>0.0</v>
      </c>
      <c r="H17" s="28"/>
      <c r="I17" s="28"/>
      <c r="J17" s="29">
        <f t="shared" si="8"/>
        <v>250000</v>
      </c>
      <c r="K17" s="17" t="s">
        <v>15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24">
        <v>15.0</v>
      </c>
      <c r="B18" s="44">
        <v>46028.0</v>
      </c>
      <c r="C18" s="31"/>
      <c r="D18" s="27" t="s">
        <v>34</v>
      </c>
      <c r="E18" s="29">
        <v>500000.0</v>
      </c>
      <c r="F18" s="29">
        <v>250000.0</v>
      </c>
      <c r="G18" s="29">
        <v>0.0</v>
      </c>
      <c r="H18" s="28"/>
      <c r="I18" s="28"/>
      <c r="J18" s="29">
        <f t="shared" si="8"/>
        <v>250000</v>
      </c>
      <c r="K18" s="17" t="s">
        <v>15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8">
        <v>16.0</v>
      </c>
      <c r="B19" s="43">
        <v>46033.0</v>
      </c>
      <c r="C19" s="30"/>
      <c r="D19" s="21" t="s">
        <v>35</v>
      </c>
      <c r="E19" s="23">
        <v>1500000.0</v>
      </c>
      <c r="F19" s="23">
        <v>500000.0</v>
      </c>
      <c r="G19" s="23">
        <v>30000.0</v>
      </c>
      <c r="H19" s="22"/>
      <c r="I19" s="22"/>
      <c r="J19" s="23">
        <f t="shared" si="8"/>
        <v>970000</v>
      </c>
      <c r="K19" s="17" t="s">
        <v>15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24">
        <v>17.0</v>
      </c>
      <c r="B20" s="44">
        <v>46033.0</v>
      </c>
      <c r="C20" s="31"/>
      <c r="D20" s="27" t="s">
        <v>35</v>
      </c>
      <c r="E20" s="29">
        <v>1500000.0</v>
      </c>
      <c r="F20" s="29">
        <v>1000000.0</v>
      </c>
      <c r="G20" s="29">
        <v>160000.0</v>
      </c>
      <c r="H20" s="28"/>
      <c r="I20" s="28"/>
      <c r="J20" s="29">
        <f t="shared" si="8"/>
        <v>340000</v>
      </c>
      <c r="K20" s="17" t="s">
        <v>15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24">
        <v>18.0</v>
      </c>
      <c r="B21" s="44">
        <v>46036.0</v>
      </c>
      <c r="C21" s="31"/>
      <c r="D21" s="27" t="s">
        <v>33</v>
      </c>
      <c r="E21" s="29">
        <v>2000000.0</v>
      </c>
      <c r="F21" s="29">
        <v>800000.0</v>
      </c>
      <c r="G21" s="29">
        <v>0.0</v>
      </c>
      <c r="H21" s="28"/>
      <c r="I21" s="28"/>
      <c r="J21" s="29">
        <f t="shared" si="8"/>
        <v>1200000</v>
      </c>
      <c r="K21" s="17" t="s">
        <v>15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4">
        <v>19.0</v>
      </c>
      <c r="B22" s="44">
        <v>46037.0</v>
      </c>
      <c r="C22" s="31"/>
      <c r="D22" s="27" t="s">
        <v>36</v>
      </c>
      <c r="E22" s="29">
        <v>750000.0</v>
      </c>
      <c r="F22" s="29">
        <v>350000.0</v>
      </c>
      <c r="G22" s="29">
        <v>60000.0</v>
      </c>
      <c r="H22" s="28"/>
      <c r="I22" s="28"/>
      <c r="J22" s="29">
        <f t="shared" si="8"/>
        <v>340000</v>
      </c>
      <c r="K22" s="17" t="s">
        <v>15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4">
        <v>20.0</v>
      </c>
      <c r="B23" s="44">
        <v>46039.0</v>
      </c>
      <c r="C23" s="31"/>
      <c r="D23" s="27" t="s">
        <v>34</v>
      </c>
      <c r="E23" s="29">
        <v>500000.0</v>
      </c>
      <c r="F23" s="29">
        <v>200000.0</v>
      </c>
      <c r="G23" s="29">
        <v>0.0</v>
      </c>
      <c r="H23" s="28"/>
      <c r="I23" s="28"/>
      <c r="J23" s="29">
        <f t="shared" si="8"/>
        <v>300000</v>
      </c>
      <c r="K23" s="17" t="s">
        <v>15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4">
        <v>21.0</v>
      </c>
      <c r="B24" s="44">
        <v>46039.0</v>
      </c>
      <c r="C24" s="31"/>
      <c r="D24" s="27" t="s">
        <v>37</v>
      </c>
      <c r="E24" s="29">
        <v>1200000.0</v>
      </c>
      <c r="F24" s="29">
        <v>700000.0</v>
      </c>
      <c r="G24" s="29">
        <v>0.0</v>
      </c>
      <c r="H24" s="28"/>
      <c r="I24" s="28"/>
      <c r="J24" s="29">
        <f t="shared" si="8"/>
        <v>500000</v>
      </c>
      <c r="K24" s="17" t="s">
        <v>15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4">
        <v>22.0</v>
      </c>
      <c r="B25" s="44">
        <v>46040.0</v>
      </c>
      <c r="C25" s="31"/>
      <c r="D25" s="27" t="s">
        <v>38</v>
      </c>
      <c r="E25" s="29">
        <v>1000000.0</v>
      </c>
      <c r="F25" s="29">
        <v>250000.0</v>
      </c>
      <c r="G25" s="29">
        <v>60000.0</v>
      </c>
      <c r="H25" s="28"/>
      <c r="I25" s="28"/>
      <c r="J25" s="29">
        <f t="shared" si="8"/>
        <v>690000</v>
      </c>
      <c r="K25" s="17" t="s">
        <v>15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4">
        <v>23.0</v>
      </c>
      <c r="B26" s="44">
        <v>46040.0</v>
      </c>
      <c r="C26" s="31"/>
      <c r="D26" s="27" t="s">
        <v>34</v>
      </c>
      <c r="E26" s="29">
        <v>500000.0</v>
      </c>
      <c r="F26" s="29">
        <v>200000.0</v>
      </c>
      <c r="G26" s="29">
        <v>50000.0</v>
      </c>
      <c r="H26" s="28"/>
      <c r="I26" s="28"/>
      <c r="J26" s="29">
        <f t="shared" si="8"/>
        <v>250000</v>
      </c>
      <c r="K26" s="17" t="s">
        <v>15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8">
        <v>24.0</v>
      </c>
      <c r="B27" s="43">
        <v>46041.0</v>
      </c>
      <c r="C27" s="30"/>
      <c r="D27" s="21" t="s">
        <v>34</v>
      </c>
      <c r="E27" s="23">
        <v>500000.0</v>
      </c>
      <c r="F27" s="23">
        <v>200000.0</v>
      </c>
      <c r="G27" s="23">
        <v>0.0</v>
      </c>
      <c r="H27" s="22"/>
      <c r="I27" s="22"/>
      <c r="J27" s="23">
        <f t="shared" si="8"/>
        <v>300000</v>
      </c>
      <c r="K27" s="17" t="s">
        <v>15</v>
      </c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24">
        <v>25.0</v>
      </c>
      <c r="B28" s="44">
        <v>46042.0</v>
      </c>
      <c r="C28" s="31"/>
      <c r="D28" s="27" t="s">
        <v>35</v>
      </c>
      <c r="E28" s="29">
        <v>1500000.0</v>
      </c>
      <c r="F28" s="29">
        <v>600000.0</v>
      </c>
      <c r="G28" s="29">
        <v>0.0</v>
      </c>
      <c r="H28" s="28"/>
      <c r="I28" s="28"/>
      <c r="J28" s="29">
        <f t="shared" si="8"/>
        <v>900000</v>
      </c>
      <c r="K28" s="17" t="s">
        <v>15</v>
      </c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24">
        <v>26.0</v>
      </c>
      <c r="B29" s="44">
        <v>46043.0</v>
      </c>
      <c r="C29" s="31"/>
      <c r="D29" s="27" t="s">
        <v>34</v>
      </c>
      <c r="E29" s="29">
        <v>500000.0</v>
      </c>
      <c r="F29" s="29">
        <v>200000.0</v>
      </c>
      <c r="G29" s="29">
        <v>50000.0</v>
      </c>
      <c r="H29" s="28"/>
      <c r="I29" s="28"/>
      <c r="J29" s="29">
        <f t="shared" si="8"/>
        <v>250000</v>
      </c>
      <c r="K29" s="17" t="s">
        <v>15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4">
        <v>27.0</v>
      </c>
      <c r="B30" s="44">
        <v>46043.0</v>
      </c>
      <c r="C30" s="31"/>
      <c r="D30" s="27" t="s">
        <v>34</v>
      </c>
      <c r="E30" s="29">
        <v>500000.0</v>
      </c>
      <c r="F30" s="29">
        <v>200000.0</v>
      </c>
      <c r="G30" s="29">
        <v>0.0</v>
      </c>
      <c r="H30" s="28"/>
      <c r="I30" s="28"/>
      <c r="J30" s="29">
        <f t="shared" si="8"/>
        <v>300000</v>
      </c>
      <c r="K30" s="17" t="s">
        <v>15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>
        <v>28.0</v>
      </c>
      <c r="B31" s="44">
        <v>46043.0</v>
      </c>
      <c r="C31" s="31"/>
      <c r="D31" s="27" t="s">
        <v>33</v>
      </c>
      <c r="E31" s="29">
        <v>1000000.0</v>
      </c>
      <c r="F31" s="29">
        <v>600000.0</v>
      </c>
      <c r="G31" s="29">
        <v>0.0</v>
      </c>
      <c r="H31" s="28"/>
      <c r="I31" s="28"/>
      <c r="J31" s="29">
        <f t="shared" si="8"/>
        <v>400000</v>
      </c>
      <c r="K31" s="17" t="s">
        <v>15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8">
        <v>29.0</v>
      </c>
      <c r="B32" s="43">
        <v>46043.0</v>
      </c>
      <c r="C32" s="30"/>
      <c r="D32" s="21" t="s">
        <v>39</v>
      </c>
      <c r="E32" s="23">
        <v>500000.0</v>
      </c>
      <c r="F32" s="23">
        <v>200000.0</v>
      </c>
      <c r="G32" s="23">
        <v>0.0</v>
      </c>
      <c r="H32" s="22"/>
      <c r="I32" s="22"/>
      <c r="J32" s="23">
        <f t="shared" si="8"/>
        <v>300000</v>
      </c>
      <c r="K32" s="17" t="s">
        <v>15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24">
        <v>30.0</v>
      </c>
      <c r="B33" s="44">
        <v>46043.0</v>
      </c>
      <c r="C33" s="31"/>
      <c r="D33" s="27" t="s">
        <v>33</v>
      </c>
      <c r="E33" s="29">
        <v>950000.0</v>
      </c>
      <c r="F33" s="29">
        <v>500000.0</v>
      </c>
      <c r="G33" s="29">
        <v>0.0</v>
      </c>
      <c r="H33" s="28"/>
      <c r="I33" s="28"/>
      <c r="J33" s="29">
        <f t="shared" si="8"/>
        <v>450000</v>
      </c>
      <c r="K33" s="17" t="s">
        <v>15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8">
        <v>31.0</v>
      </c>
      <c r="B34" s="43">
        <v>46044.0</v>
      </c>
      <c r="C34" s="30"/>
      <c r="D34" s="21" t="s">
        <v>40</v>
      </c>
      <c r="E34" s="23">
        <v>550000.0</v>
      </c>
      <c r="F34" s="23">
        <v>250000.0</v>
      </c>
      <c r="G34" s="23">
        <v>0.0</v>
      </c>
      <c r="H34" s="22"/>
      <c r="I34" s="22"/>
      <c r="J34" s="23">
        <f t="shared" si="8"/>
        <v>300000</v>
      </c>
      <c r="K34" s="17" t="s">
        <v>15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24">
        <v>32.0</v>
      </c>
      <c r="B35" s="44">
        <v>46044.0</v>
      </c>
      <c r="C35" s="31"/>
      <c r="D35" s="27" t="s">
        <v>41</v>
      </c>
      <c r="E35" s="29">
        <v>1500000.0</v>
      </c>
      <c r="F35" s="29">
        <v>750000.0</v>
      </c>
      <c r="G35" s="29">
        <v>0.0</v>
      </c>
      <c r="H35" s="28"/>
      <c r="I35" s="28"/>
      <c r="J35" s="29">
        <f t="shared" si="8"/>
        <v>750000</v>
      </c>
      <c r="K35" s="17" t="s">
        <v>15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8">
        <v>33.0</v>
      </c>
      <c r="B36" s="43">
        <v>46044.0</v>
      </c>
      <c r="C36" s="30"/>
      <c r="D36" s="21" t="s">
        <v>42</v>
      </c>
      <c r="E36" s="23">
        <v>550000.0</v>
      </c>
      <c r="F36" s="23">
        <v>250000.0</v>
      </c>
      <c r="G36" s="23">
        <v>0.0</v>
      </c>
      <c r="H36" s="22"/>
      <c r="I36" s="22"/>
      <c r="J36" s="23">
        <f t="shared" si="8"/>
        <v>300000</v>
      </c>
      <c r="K36" s="17" t="s">
        <v>15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>
        <v>34.0</v>
      </c>
      <c r="B37" s="44">
        <v>46045.0</v>
      </c>
      <c r="C37" s="31"/>
      <c r="D37" s="27" t="s">
        <v>35</v>
      </c>
      <c r="E37" s="29">
        <v>900000.0</v>
      </c>
      <c r="F37" s="28"/>
      <c r="G37" s="29">
        <v>0.0</v>
      </c>
      <c r="H37" s="28"/>
      <c r="I37" s="28"/>
      <c r="J37" s="29">
        <f t="shared" si="8"/>
        <v>900000</v>
      </c>
      <c r="K37" s="17" t="s">
        <v>15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8">
        <v>35.0</v>
      </c>
      <c r="B38" s="43">
        <v>46045.0</v>
      </c>
      <c r="C38" s="30"/>
      <c r="D38" s="21" t="s">
        <v>33</v>
      </c>
      <c r="E38" s="23">
        <v>1400000.0</v>
      </c>
      <c r="F38" s="23">
        <v>600000.0</v>
      </c>
      <c r="G38" s="23">
        <v>50000.0</v>
      </c>
      <c r="H38" s="22"/>
      <c r="I38" s="22"/>
      <c r="J38" s="23">
        <f t="shared" si="8"/>
        <v>750000</v>
      </c>
      <c r="K38" s="17" t="s">
        <v>15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24">
        <v>36.0</v>
      </c>
      <c r="B39" s="44">
        <v>46046.0</v>
      </c>
      <c r="C39" s="31"/>
      <c r="D39" s="27" t="s">
        <v>33</v>
      </c>
      <c r="E39" s="29">
        <v>1000000.0</v>
      </c>
      <c r="F39" s="29">
        <v>400000.0</v>
      </c>
      <c r="G39" s="29">
        <v>0.0</v>
      </c>
      <c r="H39" s="28"/>
      <c r="I39" s="28"/>
      <c r="J39" s="29">
        <f t="shared" si="8"/>
        <v>600000</v>
      </c>
      <c r="K39" s="17" t="s">
        <v>15</v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24">
        <v>37.0</v>
      </c>
      <c r="B40" s="44">
        <v>46047.0</v>
      </c>
      <c r="C40" s="31"/>
      <c r="D40" s="27" t="s">
        <v>43</v>
      </c>
      <c r="E40" s="29">
        <v>500000.0</v>
      </c>
      <c r="F40" s="29">
        <v>200000.0</v>
      </c>
      <c r="G40" s="29">
        <v>0.0</v>
      </c>
      <c r="H40" s="28"/>
      <c r="I40" s="28"/>
      <c r="J40" s="29">
        <f t="shared" si="8"/>
        <v>300000</v>
      </c>
      <c r="K40" s="17" t="s">
        <v>15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8">
        <v>38.0</v>
      </c>
      <c r="B41" s="43">
        <v>46047.0</v>
      </c>
      <c r="C41" s="30"/>
      <c r="D41" s="21" t="s">
        <v>35</v>
      </c>
      <c r="E41" s="23">
        <v>1500000.0</v>
      </c>
      <c r="F41" s="23">
        <v>800000.0</v>
      </c>
      <c r="G41" s="23">
        <v>0.0</v>
      </c>
      <c r="H41" s="22"/>
      <c r="I41" s="22"/>
      <c r="J41" s="23">
        <f t="shared" si="8"/>
        <v>700000</v>
      </c>
      <c r="K41" s="17" t="s">
        <v>15</v>
      </c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8">
        <v>39.0</v>
      </c>
      <c r="B42" s="43">
        <v>46047.0</v>
      </c>
      <c r="C42" s="30"/>
      <c r="D42" s="21" t="s">
        <v>44</v>
      </c>
      <c r="E42" s="23">
        <v>500000.0</v>
      </c>
      <c r="F42" s="23">
        <v>250000.0</v>
      </c>
      <c r="G42" s="23">
        <v>0.0</v>
      </c>
      <c r="H42" s="22"/>
      <c r="I42" s="22"/>
      <c r="J42" s="23">
        <f t="shared" si="8"/>
        <v>250000</v>
      </c>
      <c r="K42" s="17" t="s">
        <v>15</v>
      </c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8">
        <v>40.0</v>
      </c>
      <c r="B43" s="43">
        <v>46047.0</v>
      </c>
      <c r="C43" s="30"/>
      <c r="D43" s="21" t="s">
        <v>45</v>
      </c>
      <c r="E43" s="23">
        <v>1000000.0</v>
      </c>
      <c r="F43" s="23">
        <v>400000.0</v>
      </c>
      <c r="G43" s="23">
        <v>0.0</v>
      </c>
      <c r="H43" s="22"/>
      <c r="I43" s="22"/>
      <c r="J43" s="23">
        <f t="shared" si="8"/>
        <v>600000</v>
      </c>
      <c r="K43" s="17" t="s">
        <v>15</v>
      </c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24">
        <v>41.0</v>
      </c>
      <c r="B44" s="44">
        <v>46047.0</v>
      </c>
      <c r="C44" s="31"/>
      <c r="D44" s="27" t="s">
        <v>45</v>
      </c>
      <c r="E44" s="29">
        <v>500000.0</v>
      </c>
      <c r="F44" s="29">
        <v>250000.0</v>
      </c>
      <c r="G44" s="29">
        <v>35000.0</v>
      </c>
      <c r="H44" s="28"/>
      <c r="I44" s="28"/>
      <c r="J44" s="29">
        <f t="shared" si="8"/>
        <v>215000</v>
      </c>
      <c r="K44" s="17" t="s">
        <v>15</v>
      </c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24">
        <v>42.0</v>
      </c>
      <c r="B45" s="44">
        <v>46048.0</v>
      </c>
      <c r="C45" s="31"/>
      <c r="D45" s="27" t="s">
        <v>39</v>
      </c>
      <c r="E45" s="29">
        <v>500000.0</v>
      </c>
      <c r="F45" s="29">
        <v>250000.0</v>
      </c>
      <c r="G45" s="29">
        <v>0.0</v>
      </c>
      <c r="H45" s="28"/>
      <c r="I45" s="28"/>
      <c r="J45" s="29">
        <f t="shared" si="8"/>
        <v>250000</v>
      </c>
      <c r="K45" s="17" t="s">
        <v>15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24">
        <v>43.0</v>
      </c>
      <c r="B46" s="44">
        <v>46050.0</v>
      </c>
      <c r="C46" s="31"/>
      <c r="D46" s="27" t="s">
        <v>46</v>
      </c>
      <c r="E46" s="29">
        <v>1600000.0</v>
      </c>
      <c r="F46" s="29">
        <v>790000.0</v>
      </c>
      <c r="G46" s="29">
        <v>0.0</v>
      </c>
      <c r="H46" s="28"/>
      <c r="I46" s="28"/>
      <c r="J46" s="29">
        <f t="shared" si="8"/>
        <v>810000</v>
      </c>
      <c r="K46" s="17" t="s">
        <v>15</v>
      </c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24">
        <v>44.0</v>
      </c>
      <c r="B47" s="44">
        <v>46050.0</v>
      </c>
      <c r="C47" s="31"/>
      <c r="D47" s="27" t="s">
        <v>47</v>
      </c>
      <c r="E47" s="29">
        <v>3000000.0</v>
      </c>
      <c r="F47" s="29">
        <v>1600000.0</v>
      </c>
      <c r="G47" s="29">
        <v>150000.0</v>
      </c>
      <c r="H47" s="28"/>
      <c r="I47" s="28"/>
      <c r="J47" s="29">
        <f t="shared" si="8"/>
        <v>1250000</v>
      </c>
      <c r="K47" s="17" t="s">
        <v>15</v>
      </c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8">
        <v>45.0</v>
      </c>
      <c r="B48" s="43">
        <v>46050.0</v>
      </c>
      <c r="C48" s="30"/>
      <c r="D48" s="21" t="s">
        <v>35</v>
      </c>
      <c r="E48" s="23">
        <v>1500000.0</v>
      </c>
      <c r="F48" s="23">
        <v>800000.0</v>
      </c>
      <c r="G48" s="23">
        <v>0.0</v>
      </c>
      <c r="H48" s="22"/>
      <c r="I48" s="22"/>
      <c r="J48" s="23">
        <f t="shared" si="8"/>
        <v>700000</v>
      </c>
      <c r="K48" s="17" t="s">
        <v>15</v>
      </c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24">
        <v>46.0</v>
      </c>
      <c r="B49" s="44">
        <v>46051.0</v>
      </c>
      <c r="C49" s="31"/>
      <c r="D49" s="27" t="s">
        <v>34</v>
      </c>
      <c r="E49" s="29">
        <v>500000.0</v>
      </c>
      <c r="F49" s="29">
        <v>250000.0</v>
      </c>
      <c r="G49" s="29">
        <v>0.0</v>
      </c>
      <c r="H49" s="28"/>
      <c r="I49" s="28"/>
      <c r="J49" s="29">
        <f t="shared" si="8"/>
        <v>250000</v>
      </c>
      <c r="K49" s="17" t="s">
        <v>15</v>
      </c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8">
        <v>47.0</v>
      </c>
      <c r="B50" s="43">
        <v>46051.0</v>
      </c>
      <c r="C50" s="30"/>
      <c r="D50" s="21" t="s">
        <v>33</v>
      </c>
      <c r="E50" s="23">
        <v>1250000.0</v>
      </c>
      <c r="F50" s="23">
        <v>500000.0</v>
      </c>
      <c r="G50" s="23">
        <v>0.0</v>
      </c>
      <c r="H50" s="22"/>
      <c r="I50" s="22"/>
      <c r="J50" s="23">
        <f t="shared" si="8"/>
        <v>750000</v>
      </c>
      <c r="K50" s="17" t="s">
        <v>15</v>
      </c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8">
        <v>48.0</v>
      </c>
      <c r="B51" s="43">
        <v>46051.0</v>
      </c>
      <c r="C51" s="30"/>
      <c r="D51" s="21" t="s">
        <v>45</v>
      </c>
      <c r="E51" s="23">
        <v>1250000.0</v>
      </c>
      <c r="F51" s="23">
        <v>500000.0</v>
      </c>
      <c r="G51" s="23">
        <v>0.0</v>
      </c>
      <c r="H51" s="22"/>
      <c r="I51" s="22"/>
      <c r="J51" s="23">
        <f t="shared" si="8"/>
        <v>750000</v>
      </c>
      <c r="K51" s="17" t="s">
        <v>15</v>
      </c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5">
        <v>49.0</v>
      </c>
      <c r="B52" s="46">
        <v>46052.0</v>
      </c>
      <c r="C52" s="47"/>
      <c r="D52" s="48" t="s">
        <v>34</v>
      </c>
      <c r="E52" s="49">
        <v>500000.0</v>
      </c>
      <c r="F52" s="49">
        <v>250000.0</v>
      </c>
      <c r="G52" s="49">
        <v>0.0</v>
      </c>
      <c r="H52" s="49">
        <v>7800000.0</v>
      </c>
      <c r="I52" s="50"/>
      <c r="J52" s="49">
        <f t="shared" si="8"/>
        <v>-7550000</v>
      </c>
      <c r="K52" s="17" t="s">
        <v>15</v>
      </c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5" t="s">
        <v>17</v>
      </c>
      <c r="B53" s="6"/>
      <c r="C53" s="6"/>
      <c r="D53" s="6"/>
      <c r="E53" s="6"/>
      <c r="F53" s="6"/>
      <c r="G53" s="6"/>
      <c r="H53" s="6"/>
      <c r="I53" s="6"/>
      <c r="J53" s="7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1">
        <v>50.0</v>
      </c>
      <c r="B54" s="41">
        <v>46054.0</v>
      </c>
      <c r="C54" s="42"/>
      <c r="D54" s="14" t="s">
        <v>48</v>
      </c>
      <c r="E54" s="16">
        <v>500000.0</v>
      </c>
      <c r="F54" s="16">
        <v>250000.0</v>
      </c>
      <c r="G54" s="16">
        <v>0.0</v>
      </c>
      <c r="H54" s="15"/>
      <c r="I54" s="15"/>
      <c r="J54" s="16">
        <f t="shared" ref="J54:J111" si="9">N(E54)-N(F54)-N(G54)-N(H54)-N(I54)</f>
        <v>250000</v>
      </c>
      <c r="K54" s="17" t="s">
        <v>17</v>
      </c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24">
        <v>51.0</v>
      </c>
      <c r="B55" s="44">
        <v>46055.0</v>
      </c>
      <c r="C55" s="31"/>
      <c r="D55" s="27" t="s">
        <v>49</v>
      </c>
      <c r="E55" s="29">
        <v>1000000.0</v>
      </c>
      <c r="F55" s="29">
        <v>300000.0</v>
      </c>
      <c r="G55" s="29">
        <v>0.0</v>
      </c>
      <c r="H55" s="28"/>
      <c r="I55" s="28"/>
      <c r="J55" s="29">
        <f t="shared" si="9"/>
        <v>700000</v>
      </c>
      <c r="K55" s="17" t="s">
        <v>17</v>
      </c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8">
        <v>52.0</v>
      </c>
      <c r="B56" s="43">
        <v>46055.0</v>
      </c>
      <c r="C56" s="30"/>
      <c r="D56" s="21" t="s">
        <v>50</v>
      </c>
      <c r="E56" s="23">
        <v>500000.0</v>
      </c>
      <c r="F56" s="23">
        <v>250000.0</v>
      </c>
      <c r="G56" s="23">
        <v>0.0</v>
      </c>
      <c r="H56" s="22"/>
      <c r="I56" s="22"/>
      <c r="J56" s="23">
        <f t="shared" si="9"/>
        <v>250000</v>
      </c>
      <c r="K56" s="17" t="s">
        <v>17</v>
      </c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8">
        <v>53.0</v>
      </c>
      <c r="B57" s="43">
        <v>46055.0</v>
      </c>
      <c r="C57" s="30"/>
      <c r="D57" s="21" t="s">
        <v>51</v>
      </c>
      <c r="E57" s="23">
        <v>700000.0</v>
      </c>
      <c r="F57" s="23">
        <v>300000.0</v>
      </c>
      <c r="G57" s="23">
        <v>0.0</v>
      </c>
      <c r="H57" s="22"/>
      <c r="I57" s="22"/>
      <c r="J57" s="23">
        <f t="shared" si="9"/>
        <v>400000</v>
      </c>
      <c r="K57" s="17" t="s">
        <v>17</v>
      </c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24">
        <v>54.0</v>
      </c>
      <c r="B58" s="44">
        <v>46056.0</v>
      </c>
      <c r="C58" s="31"/>
      <c r="D58" s="27" t="s">
        <v>52</v>
      </c>
      <c r="E58" s="29">
        <v>500000.0</v>
      </c>
      <c r="F58" s="29">
        <v>250000.0</v>
      </c>
      <c r="G58" s="29">
        <v>0.0</v>
      </c>
      <c r="H58" s="28"/>
      <c r="I58" s="28"/>
      <c r="J58" s="29">
        <f t="shared" si="9"/>
        <v>250000</v>
      </c>
      <c r="K58" s="17" t="s">
        <v>17</v>
      </c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8">
        <v>55.0</v>
      </c>
      <c r="B59" s="43">
        <v>46056.0</v>
      </c>
      <c r="C59" s="30"/>
      <c r="D59" s="21" t="s">
        <v>53</v>
      </c>
      <c r="E59" s="23">
        <v>1000000.0</v>
      </c>
      <c r="F59" s="23">
        <v>500000.0</v>
      </c>
      <c r="G59" s="23">
        <v>0.0</v>
      </c>
      <c r="H59" s="22"/>
      <c r="I59" s="22"/>
      <c r="J59" s="23">
        <f t="shared" si="9"/>
        <v>500000</v>
      </c>
      <c r="K59" s="17" t="s">
        <v>17</v>
      </c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8">
        <v>56.0</v>
      </c>
      <c r="B60" s="43">
        <v>46056.0</v>
      </c>
      <c r="C60" s="30"/>
      <c r="D60" s="21" t="s">
        <v>54</v>
      </c>
      <c r="E60" s="23">
        <v>1500000.0</v>
      </c>
      <c r="F60" s="23">
        <v>600000.0</v>
      </c>
      <c r="G60" s="23">
        <v>0.0</v>
      </c>
      <c r="H60" s="22"/>
      <c r="I60" s="22"/>
      <c r="J60" s="23">
        <f t="shared" si="9"/>
        <v>900000</v>
      </c>
      <c r="K60" s="17" t="s">
        <v>17</v>
      </c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24">
        <v>57.0</v>
      </c>
      <c r="B61" s="44">
        <v>46057.0</v>
      </c>
      <c r="C61" s="26">
        <v>0.3541666666678793</v>
      </c>
      <c r="D61" s="27" t="s">
        <v>55</v>
      </c>
      <c r="E61" s="29">
        <v>500000.0</v>
      </c>
      <c r="F61" s="29">
        <v>250000.0</v>
      </c>
      <c r="G61" s="29">
        <v>0.0</v>
      </c>
      <c r="H61" s="28"/>
      <c r="I61" s="28"/>
      <c r="J61" s="29">
        <f t="shared" si="9"/>
        <v>250000</v>
      </c>
      <c r="K61" s="17" t="s">
        <v>17</v>
      </c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8">
        <v>58.0</v>
      </c>
      <c r="B62" s="43">
        <v>46057.0</v>
      </c>
      <c r="C62" s="20">
        <v>0.4166666666678793</v>
      </c>
      <c r="D62" s="21" t="s">
        <v>56</v>
      </c>
      <c r="E62" s="23">
        <v>900000.0</v>
      </c>
      <c r="F62" s="23">
        <v>500000.0</v>
      </c>
      <c r="G62" s="23">
        <v>0.0</v>
      </c>
      <c r="H62" s="22"/>
      <c r="I62" s="22"/>
      <c r="J62" s="23">
        <f t="shared" si="9"/>
        <v>400000</v>
      </c>
      <c r="K62" s="17" t="s">
        <v>17</v>
      </c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24">
        <v>59.0</v>
      </c>
      <c r="B63" s="44">
        <v>46058.0</v>
      </c>
      <c r="C63" s="31"/>
      <c r="D63" s="27" t="s">
        <v>57</v>
      </c>
      <c r="E63" s="29">
        <v>2500000.0</v>
      </c>
      <c r="F63" s="29">
        <v>1400000.0</v>
      </c>
      <c r="G63" s="29">
        <v>120000.0</v>
      </c>
      <c r="H63" s="28"/>
      <c r="I63" s="28"/>
      <c r="J63" s="29">
        <f t="shared" si="9"/>
        <v>980000</v>
      </c>
      <c r="K63" s="17" t="s">
        <v>17</v>
      </c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8">
        <v>60.0</v>
      </c>
      <c r="B64" s="43">
        <v>46058.0</v>
      </c>
      <c r="C64" s="30"/>
      <c r="D64" s="21" t="s">
        <v>58</v>
      </c>
      <c r="E64" s="23">
        <v>600000.0</v>
      </c>
      <c r="F64" s="23">
        <v>300000.0</v>
      </c>
      <c r="G64" s="23">
        <v>0.0</v>
      </c>
      <c r="H64" s="22"/>
      <c r="I64" s="22"/>
      <c r="J64" s="23">
        <f t="shared" si="9"/>
        <v>300000</v>
      </c>
      <c r="K64" s="17" t="s">
        <v>17</v>
      </c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8">
        <v>61.0</v>
      </c>
      <c r="B65" s="43">
        <v>46058.0</v>
      </c>
      <c r="C65" s="30"/>
      <c r="D65" s="21" t="s">
        <v>59</v>
      </c>
      <c r="E65" s="23">
        <v>500000.0</v>
      </c>
      <c r="F65" s="23">
        <v>350000.0</v>
      </c>
      <c r="G65" s="23">
        <v>0.0</v>
      </c>
      <c r="H65" s="22"/>
      <c r="I65" s="22"/>
      <c r="J65" s="23">
        <f t="shared" si="9"/>
        <v>150000</v>
      </c>
      <c r="K65" s="17" t="s">
        <v>17</v>
      </c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24">
        <v>62.0</v>
      </c>
      <c r="B66" s="44">
        <v>46059.0</v>
      </c>
      <c r="C66" s="31"/>
      <c r="D66" s="27" t="s">
        <v>60</v>
      </c>
      <c r="E66" s="29">
        <v>650000.0</v>
      </c>
      <c r="F66" s="29">
        <v>400000.0</v>
      </c>
      <c r="G66" s="29">
        <v>0.0</v>
      </c>
      <c r="H66" s="28"/>
      <c r="I66" s="28"/>
      <c r="J66" s="29">
        <f t="shared" si="9"/>
        <v>250000</v>
      </c>
      <c r="K66" s="17" t="s">
        <v>17</v>
      </c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8">
        <v>63.0</v>
      </c>
      <c r="B67" s="43">
        <v>46059.0</v>
      </c>
      <c r="C67" s="30"/>
      <c r="D67" s="21" t="s">
        <v>61</v>
      </c>
      <c r="E67" s="23">
        <v>1350000.0</v>
      </c>
      <c r="F67" s="23">
        <v>700000.0</v>
      </c>
      <c r="G67" s="23">
        <v>0.0</v>
      </c>
      <c r="H67" s="22"/>
      <c r="I67" s="22"/>
      <c r="J67" s="23">
        <f t="shared" si="9"/>
        <v>650000</v>
      </c>
      <c r="K67" s="17" t="s">
        <v>17</v>
      </c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8">
        <v>64.0</v>
      </c>
      <c r="B68" s="43">
        <v>46059.0</v>
      </c>
      <c r="C68" s="30"/>
      <c r="D68" s="21" t="s">
        <v>62</v>
      </c>
      <c r="E68" s="23">
        <v>1500000.0</v>
      </c>
      <c r="F68" s="23">
        <v>600000.0</v>
      </c>
      <c r="G68" s="23">
        <v>0.0</v>
      </c>
      <c r="H68" s="22"/>
      <c r="I68" s="22"/>
      <c r="J68" s="23">
        <f t="shared" si="9"/>
        <v>900000</v>
      </c>
      <c r="K68" s="17" t="s">
        <v>17</v>
      </c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8">
        <v>65.0</v>
      </c>
      <c r="B69" s="43">
        <v>46059.0</v>
      </c>
      <c r="C69" s="30"/>
      <c r="D69" s="21" t="s">
        <v>63</v>
      </c>
      <c r="E69" s="23">
        <v>500000.0</v>
      </c>
      <c r="F69" s="23">
        <v>250000.0</v>
      </c>
      <c r="G69" s="23">
        <v>0.0</v>
      </c>
      <c r="H69" s="22"/>
      <c r="I69" s="22"/>
      <c r="J69" s="23">
        <f t="shared" si="9"/>
        <v>250000</v>
      </c>
      <c r="K69" s="17" t="s">
        <v>17</v>
      </c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24">
        <v>66.0</v>
      </c>
      <c r="B70" s="44">
        <v>46060.0</v>
      </c>
      <c r="C70" s="31"/>
      <c r="D70" s="27" t="s">
        <v>64</v>
      </c>
      <c r="E70" s="29">
        <v>1500000.0</v>
      </c>
      <c r="F70" s="29">
        <v>600000.0</v>
      </c>
      <c r="G70" s="29">
        <v>0.0</v>
      </c>
      <c r="H70" s="28"/>
      <c r="I70" s="28"/>
      <c r="J70" s="29">
        <f t="shared" si="9"/>
        <v>900000</v>
      </c>
      <c r="K70" s="17" t="s">
        <v>17</v>
      </c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8">
        <v>67.0</v>
      </c>
      <c r="B71" s="43">
        <v>46060.0</v>
      </c>
      <c r="C71" s="30"/>
      <c r="D71" s="21" t="s">
        <v>65</v>
      </c>
      <c r="E71" s="23">
        <v>1500000.0</v>
      </c>
      <c r="F71" s="23">
        <v>600000.0</v>
      </c>
      <c r="G71" s="23">
        <v>0.0</v>
      </c>
      <c r="H71" s="22"/>
      <c r="I71" s="22"/>
      <c r="J71" s="23">
        <f t="shared" si="9"/>
        <v>900000</v>
      </c>
      <c r="K71" s="17" t="s">
        <v>17</v>
      </c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8">
        <v>68.0</v>
      </c>
      <c r="B72" s="43">
        <v>46060.0</v>
      </c>
      <c r="C72" s="30"/>
      <c r="D72" s="21" t="s">
        <v>66</v>
      </c>
      <c r="E72" s="23">
        <v>1500000.0</v>
      </c>
      <c r="F72" s="23">
        <v>600000.0</v>
      </c>
      <c r="G72" s="23">
        <v>0.0</v>
      </c>
      <c r="H72" s="22"/>
      <c r="I72" s="22"/>
      <c r="J72" s="23">
        <f t="shared" si="9"/>
        <v>900000</v>
      </c>
      <c r="K72" s="17" t="s">
        <v>17</v>
      </c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8">
        <v>69.0</v>
      </c>
      <c r="B73" s="43">
        <v>46060.0</v>
      </c>
      <c r="C73" s="30"/>
      <c r="D73" s="21" t="s">
        <v>67</v>
      </c>
      <c r="E73" s="23">
        <v>1250000.0</v>
      </c>
      <c r="F73" s="23">
        <v>650000.0</v>
      </c>
      <c r="G73" s="23">
        <v>0.0</v>
      </c>
      <c r="H73" s="22"/>
      <c r="I73" s="22"/>
      <c r="J73" s="23">
        <f t="shared" si="9"/>
        <v>600000</v>
      </c>
      <c r="K73" s="17" t="s">
        <v>17</v>
      </c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8">
        <v>70.0</v>
      </c>
      <c r="B74" s="43">
        <v>46060.0</v>
      </c>
      <c r="C74" s="30"/>
      <c r="D74" s="21" t="s">
        <v>68</v>
      </c>
      <c r="E74" s="23">
        <v>1500000.0</v>
      </c>
      <c r="F74" s="23">
        <v>700000.0</v>
      </c>
      <c r="G74" s="23">
        <v>0.0</v>
      </c>
      <c r="H74" s="22"/>
      <c r="I74" s="22"/>
      <c r="J74" s="23">
        <f t="shared" si="9"/>
        <v>800000</v>
      </c>
      <c r="K74" s="17" t="s">
        <v>17</v>
      </c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8">
        <v>71.0</v>
      </c>
      <c r="B75" s="43">
        <v>46060.0</v>
      </c>
      <c r="C75" s="30"/>
      <c r="D75" s="21" t="s">
        <v>69</v>
      </c>
      <c r="E75" s="23">
        <v>2200000.0</v>
      </c>
      <c r="F75" s="23">
        <v>700000.0</v>
      </c>
      <c r="G75" s="23">
        <v>600000.0</v>
      </c>
      <c r="H75" s="22"/>
      <c r="I75" s="22"/>
      <c r="J75" s="23">
        <f t="shared" si="9"/>
        <v>900000</v>
      </c>
      <c r="K75" s="17" t="s">
        <v>17</v>
      </c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24">
        <v>72.0</v>
      </c>
      <c r="B76" s="44">
        <v>46062.0</v>
      </c>
      <c r="C76" s="26">
        <v>0.3541666666678793</v>
      </c>
      <c r="D76" s="27" t="s">
        <v>70</v>
      </c>
      <c r="E76" s="29">
        <v>1500000.0</v>
      </c>
      <c r="F76" s="29">
        <v>500000.0</v>
      </c>
      <c r="G76" s="29">
        <v>500000.0</v>
      </c>
      <c r="H76" s="28"/>
      <c r="I76" s="28"/>
      <c r="J76" s="29">
        <f t="shared" si="9"/>
        <v>500000</v>
      </c>
      <c r="K76" s="17" t="s">
        <v>17</v>
      </c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8">
        <v>73.0</v>
      </c>
      <c r="B77" s="43">
        <v>46062.0</v>
      </c>
      <c r="C77" s="20">
        <v>0.4375</v>
      </c>
      <c r="D77" s="21" t="s">
        <v>71</v>
      </c>
      <c r="E77" s="23">
        <v>1500000.0</v>
      </c>
      <c r="F77" s="23">
        <v>900000.0</v>
      </c>
      <c r="G77" s="23">
        <v>100000.0</v>
      </c>
      <c r="H77" s="22"/>
      <c r="I77" s="22"/>
      <c r="J77" s="23">
        <f t="shared" si="9"/>
        <v>500000</v>
      </c>
      <c r="K77" s="17" t="s">
        <v>17</v>
      </c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8">
        <v>74.0</v>
      </c>
      <c r="B78" s="43">
        <v>46062.0</v>
      </c>
      <c r="C78" s="20">
        <v>0.5</v>
      </c>
      <c r="D78" s="21" t="s">
        <v>72</v>
      </c>
      <c r="E78" s="23">
        <v>2850000.0</v>
      </c>
      <c r="F78" s="23">
        <v>1350000.0</v>
      </c>
      <c r="G78" s="23">
        <v>550000.0</v>
      </c>
      <c r="H78" s="22"/>
      <c r="I78" s="22"/>
      <c r="J78" s="23">
        <f t="shared" si="9"/>
        <v>950000</v>
      </c>
      <c r="K78" s="17" t="s">
        <v>17</v>
      </c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8">
        <v>75.0</v>
      </c>
      <c r="B79" s="43">
        <v>46062.0</v>
      </c>
      <c r="C79" s="30"/>
      <c r="D79" s="21" t="s">
        <v>73</v>
      </c>
      <c r="E79" s="23">
        <v>2500000.0</v>
      </c>
      <c r="F79" s="23">
        <v>650000.0</v>
      </c>
      <c r="G79" s="23">
        <v>500000.0</v>
      </c>
      <c r="H79" s="22"/>
      <c r="I79" s="22"/>
      <c r="J79" s="23">
        <f t="shared" si="9"/>
        <v>1350000</v>
      </c>
      <c r="K79" s="17" t="s">
        <v>17</v>
      </c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24">
        <v>76.0</v>
      </c>
      <c r="B80" s="44">
        <v>46063.0</v>
      </c>
      <c r="C80" s="31"/>
      <c r="D80" s="27" t="s">
        <v>74</v>
      </c>
      <c r="E80" s="29">
        <v>2000000.0</v>
      </c>
      <c r="F80" s="29">
        <v>350000.0</v>
      </c>
      <c r="G80" s="29">
        <v>500000.0</v>
      </c>
      <c r="H80" s="28"/>
      <c r="I80" s="28"/>
      <c r="J80" s="29">
        <f t="shared" si="9"/>
        <v>1150000</v>
      </c>
      <c r="K80" s="17" t="s">
        <v>17</v>
      </c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24">
        <v>77.0</v>
      </c>
      <c r="B81" s="44">
        <v>46064.0</v>
      </c>
      <c r="C81" s="31"/>
      <c r="D81" s="27" t="s">
        <v>75</v>
      </c>
      <c r="E81" s="29">
        <v>1200000.0</v>
      </c>
      <c r="F81" s="29">
        <v>500000.0</v>
      </c>
      <c r="G81" s="29">
        <v>0.0</v>
      </c>
      <c r="H81" s="28"/>
      <c r="I81" s="28"/>
      <c r="J81" s="29">
        <f t="shared" si="9"/>
        <v>700000</v>
      </c>
      <c r="K81" s="17" t="s">
        <v>17</v>
      </c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8">
        <v>78.0</v>
      </c>
      <c r="B82" s="43">
        <v>46064.0</v>
      </c>
      <c r="C82" s="30"/>
      <c r="D82" s="21" t="s">
        <v>76</v>
      </c>
      <c r="E82" s="23">
        <v>2000000.0</v>
      </c>
      <c r="F82" s="23">
        <v>600000.0</v>
      </c>
      <c r="G82" s="23">
        <v>0.0</v>
      </c>
      <c r="H82" s="22"/>
      <c r="I82" s="22"/>
      <c r="J82" s="23">
        <f t="shared" si="9"/>
        <v>1400000</v>
      </c>
      <c r="K82" s="17" t="s">
        <v>17</v>
      </c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8">
        <v>79.0</v>
      </c>
      <c r="B83" s="43">
        <v>46064.0</v>
      </c>
      <c r="C83" s="30"/>
      <c r="D83" s="21" t="s">
        <v>77</v>
      </c>
      <c r="E83" s="23">
        <v>2000000.0</v>
      </c>
      <c r="F83" s="23">
        <v>600000.0</v>
      </c>
      <c r="G83" s="23">
        <v>0.0</v>
      </c>
      <c r="H83" s="22"/>
      <c r="I83" s="22"/>
      <c r="J83" s="23">
        <f t="shared" si="9"/>
        <v>1400000</v>
      </c>
      <c r="K83" s="17" t="s">
        <v>17</v>
      </c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24">
        <v>80.0</v>
      </c>
      <c r="B84" s="44">
        <v>46066.0</v>
      </c>
      <c r="C84" s="31"/>
      <c r="D84" s="27" t="s">
        <v>78</v>
      </c>
      <c r="E84" s="29">
        <v>1200000.0</v>
      </c>
      <c r="F84" s="29">
        <v>500000.0</v>
      </c>
      <c r="G84" s="29">
        <v>0.0</v>
      </c>
      <c r="H84" s="28"/>
      <c r="I84" s="28"/>
      <c r="J84" s="29">
        <f t="shared" si="9"/>
        <v>700000</v>
      </c>
      <c r="K84" s="17" t="s">
        <v>17</v>
      </c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24">
        <v>81.0</v>
      </c>
      <c r="B85" s="44">
        <v>46067.0</v>
      </c>
      <c r="C85" s="26">
        <v>0.375</v>
      </c>
      <c r="D85" s="27" t="s">
        <v>79</v>
      </c>
      <c r="E85" s="29">
        <v>2000000.0</v>
      </c>
      <c r="F85" s="29">
        <v>400000.0</v>
      </c>
      <c r="G85" s="29">
        <v>450000.0</v>
      </c>
      <c r="H85" s="28"/>
      <c r="I85" s="28"/>
      <c r="J85" s="29">
        <f t="shared" si="9"/>
        <v>1150000</v>
      </c>
      <c r="K85" s="17" t="s">
        <v>17</v>
      </c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8">
        <v>82.0</v>
      </c>
      <c r="B86" s="43">
        <v>46067.0</v>
      </c>
      <c r="C86" s="20">
        <v>0.375</v>
      </c>
      <c r="D86" s="21" t="s">
        <v>80</v>
      </c>
      <c r="E86" s="23">
        <v>3500000.0</v>
      </c>
      <c r="F86" s="23">
        <v>4000000.0</v>
      </c>
      <c r="G86" s="23">
        <v>0.0</v>
      </c>
      <c r="H86" s="22"/>
      <c r="I86" s="22"/>
      <c r="J86" s="23">
        <f t="shared" si="9"/>
        <v>-500000</v>
      </c>
      <c r="K86" s="17" t="s">
        <v>17</v>
      </c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8">
        <v>83.0</v>
      </c>
      <c r="B87" s="43">
        <v>46067.0</v>
      </c>
      <c r="C87" s="20">
        <v>0.5833333333321207</v>
      </c>
      <c r="D87" s="21" t="s">
        <v>81</v>
      </c>
      <c r="E87" s="23">
        <v>750000.0</v>
      </c>
      <c r="F87" s="23">
        <v>300000.0</v>
      </c>
      <c r="G87" s="23">
        <v>0.0</v>
      </c>
      <c r="H87" s="22"/>
      <c r="I87" s="22"/>
      <c r="J87" s="23">
        <f t="shared" si="9"/>
        <v>450000</v>
      </c>
      <c r="K87" s="17" t="s">
        <v>17</v>
      </c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8">
        <v>84.0</v>
      </c>
      <c r="B88" s="43">
        <v>46067.0</v>
      </c>
      <c r="C88" s="30"/>
      <c r="D88" s="21" t="s">
        <v>82</v>
      </c>
      <c r="E88" s="23">
        <v>3000000.0</v>
      </c>
      <c r="F88" s="23">
        <v>800000.0</v>
      </c>
      <c r="G88" s="23">
        <v>500000.0</v>
      </c>
      <c r="H88" s="22"/>
      <c r="I88" s="22"/>
      <c r="J88" s="23">
        <f t="shared" si="9"/>
        <v>1700000</v>
      </c>
      <c r="K88" s="17" t="s">
        <v>17</v>
      </c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8">
        <v>85.0</v>
      </c>
      <c r="B89" s="43">
        <v>46067.0</v>
      </c>
      <c r="C89" s="30"/>
      <c r="D89" s="21" t="s">
        <v>83</v>
      </c>
      <c r="E89" s="23">
        <v>1500000.0</v>
      </c>
      <c r="F89" s="23">
        <v>400000.0</v>
      </c>
      <c r="G89" s="23">
        <v>0.0</v>
      </c>
      <c r="H89" s="22"/>
      <c r="I89" s="22"/>
      <c r="J89" s="23">
        <f t="shared" si="9"/>
        <v>1100000</v>
      </c>
      <c r="K89" s="17" t="s">
        <v>17</v>
      </c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8">
        <v>86.0</v>
      </c>
      <c r="B90" s="43">
        <v>46067.0</v>
      </c>
      <c r="C90" s="30"/>
      <c r="D90" s="21" t="s">
        <v>84</v>
      </c>
      <c r="E90" s="23">
        <v>800000.0</v>
      </c>
      <c r="F90" s="23">
        <v>400000.0</v>
      </c>
      <c r="G90" s="23">
        <v>0.0</v>
      </c>
      <c r="H90" s="22"/>
      <c r="I90" s="22"/>
      <c r="J90" s="23">
        <f t="shared" si="9"/>
        <v>400000</v>
      </c>
      <c r="K90" s="17" t="s">
        <v>17</v>
      </c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8">
        <v>87.0</v>
      </c>
      <c r="B91" s="43">
        <v>46067.0</v>
      </c>
      <c r="C91" s="30"/>
      <c r="D91" s="21" t="s">
        <v>85</v>
      </c>
      <c r="E91" s="23">
        <v>1000000.0</v>
      </c>
      <c r="F91" s="23">
        <v>450000.0</v>
      </c>
      <c r="G91" s="23">
        <v>0.0</v>
      </c>
      <c r="H91" s="22"/>
      <c r="I91" s="22"/>
      <c r="J91" s="23">
        <f t="shared" si="9"/>
        <v>550000</v>
      </c>
      <c r="K91" s="17" t="s">
        <v>17</v>
      </c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24">
        <v>88.0</v>
      </c>
      <c r="B92" s="44">
        <v>46068.0</v>
      </c>
      <c r="C92" s="31"/>
      <c r="D92" s="27" t="s">
        <v>86</v>
      </c>
      <c r="E92" s="29">
        <v>1500000.0</v>
      </c>
      <c r="F92" s="29">
        <v>350000.0</v>
      </c>
      <c r="G92" s="29">
        <v>0.0</v>
      </c>
      <c r="H92" s="28"/>
      <c r="I92" s="28"/>
      <c r="J92" s="29">
        <f t="shared" si="9"/>
        <v>1150000</v>
      </c>
      <c r="K92" s="17" t="s">
        <v>17</v>
      </c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8">
        <v>89.0</v>
      </c>
      <c r="B93" s="43">
        <v>46068.0</v>
      </c>
      <c r="C93" s="30"/>
      <c r="D93" s="21" t="s">
        <v>87</v>
      </c>
      <c r="E93" s="23">
        <v>3000000.0</v>
      </c>
      <c r="F93" s="23">
        <v>1500000.0</v>
      </c>
      <c r="G93" s="23">
        <v>50000.0</v>
      </c>
      <c r="H93" s="22"/>
      <c r="I93" s="22"/>
      <c r="J93" s="23">
        <f t="shared" si="9"/>
        <v>1450000</v>
      </c>
      <c r="K93" s="17" t="s">
        <v>17</v>
      </c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8">
        <v>90.0</v>
      </c>
      <c r="B94" s="43">
        <v>46068.0</v>
      </c>
      <c r="C94" s="30"/>
      <c r="D94" s="21" t="s">
        <v>88</v>
      </c>
      <c r="E94" s="23">
        <v>750000.0</v>
      </c>
      <c r="F94" s="23">
        <v>300000.0</v>
      </c>
      <c r="G94" s="23">
        <v>0.0</v>
      </c>
      <c r="H94" s="22"/>
      <c r="I94" s="22"/>
      <c r="J94" s="23">
        <f t="shared" si="9"/>
        <v>450000</v>
      </c>
      <c r="K94" s="17" t="s">
        <v>17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24">
        <v>91.0</v>
      </c>
      <c r="B95" s="44">
        <v>46069.0</v>
      </c>
      <c r="C95" s="31"/>
      <c r="D95" s="27" t="s">
        <v>89</v>
      </c>
      <c r="E95" s="29">
        <v>750000.0</v>
      </c>
      <c r="F95" s="29">
        <v>250000.0</v>
      </c>
      <c r="G95" s="29">
        <v>0.0</v>
      </c>
      <c r="H95" s="28"/>
      <c r="I95" s="28"/>
      <c r="J95" s="29">
        <f t="shared" si="9"/>
        <v>500000</v>
      </c>
      <c r="K95" s="17" t="s">
        <v>17</v>
      </c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24">
        <v>92.0</v>
      </c>
      <c r="B96" s="44">
        <v>46070.0</v>
      </c>
      <c r="C96" s="31"/>
      <c r="D96" s="27" t="s">
        <v>90</v>
      </c>
      <c r="E96" s="29">
        <v>1500000.0</v>
      </c>
      <c r="F96" s="29">
        <v>400000.0</v>
      </c>
      <c r="G96" s="29">
        <v>0.0</v>
      </c>
      <c r="H96" s="28"/>
      <c r="I96" s="28"/>
      <c r="J96" s="29">
        <f t="shared" si="9"/>
        <v>1100000</v>
      </c>
      <c r="K96" s="17" t="s">
        <v>17</v>
      </c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24">
        <v>93.0</v>
      </c>
      <c r="B97" s="44">
        <v>46074.0</v>
      </c>
      <c r="C97" s="31"/>
      <c r="D97" s="27" t="s">
        <v>91</v>
      </c>
      <c r="E97" s="29">
        <v>1000000.0</v>
      </c>
      <c r="F97" s="29">
        <v>400000.0</v>
      </c>
      <c r="G97" s="29">
        <v>0.0</v>
      </c>
      <c r="H97" s="28"/>
      <c r="I97" s="28"/>
      <c r="J97" s="29">
        <f t="shared" si="9"/>
        <v>600000</v>
      </c>
      <c r="K97" s="17" t="s">
        <v>17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24">
        <v>94.0</v>
      </c>
      <c r="B98" s="44">
        <v>46075.0</v>
      </c>
      <c r="C98" s="26">
        <v>0.3333333333321207</v>
      </c>
      <c r="D98" s="27" t="s">
        <v>92</v>
      </c>
      <c r="E98" s="29">
        <v>650000.0</v>
      </c>
      <c r="F98" s="29">
        <v>300000.0</v>
      </c>
      <c r="G98" s="29">
        <v>0.0</v>
      </c>
      <c r="H98" s="28"/>
      <c r="I98" s="28"/>
      <c r="J98" s="29">
        <f t="shared" si="9"/>
        <v>350000</v>
      </c>
      <c r="K98" s="17" t="s">
        <v>17</v>
      </c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8">
        <v>95.0</v>
      </c>
      <c r="B99" s="43">
        <v>46075.0</v>
      </c>
      <c r="C99" s="30"/>
      <c r="D99" s="21" t="s">
        <v>93</v>
      </c>
      <c r="E99" s="23">
        <v>1000000.0</v>
      </c>
      <c r="F99" s="23">
        <v>300000.0</v>
      </c>
      <c r="G99" s="23">
        <v>50000.0</v>
      </c>
      <c r="H99" s="22"/>
      <c r="I99" s="22"/>
      <c r="J99" s="23">
        <f t="shared" si="9"/>
        <v>650000</v>
      </c>
      <c r="K99" s="17" t="s">
        <v>17</v>
      </c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8">
        <v>96.0</v>
      </c>
      <c r="B100" s="43">
        <v>46075.0</v>
      </c>
      <c r="C100" s="30"/>
      <c r="D100" s="21" t="s">
        <v>94</v>
      </c>
      <c r="E100" s="23">
        <v>1000000.0</v>
      </c>
      <c r="F100" s="23">
        <v>300000.0</v>
      </c>
      <c r="G100" s="23">
        <v>0.0</v>
      </c>
      <c r="H100" s="22"/>
      <c r="I100" s="22"/>
      <c r="J100" s="23">
        <f t="shared" si="9"/>
        <v>700000</v>
      </c>
      <c r="K100" s="17" t="s">
        <v>17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24">
        <v>97.0</v>
      </c>
      <c r="B101" s="44">
        <v>46076.0</v>
      </c>
      <c r="C101" s="26">
        <v>0.3125</v>
      </c>
      <c r="D101" s="27" t="s">
        <v>95</v>
      </c>
      <c r="E101" s="29">
        <v>500000.0</v>
      </c>
      <c r="F101" s="29">
        <v>250000.0</v>
      </c>
      <c r="G101" s="29">
        <v>0.0</v>
      </c>
      <c r="H101" s="28"/>
      <c r="I101" s="28"/>
      <c r="J101" s="29">
        <f t="shared" si="9"/>
        <v>250000</v>
      </c>
      <c r="K101" s="17" t="s">
        <v>17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8">
        <v>98.0</v>
      </c>
      <c r="B102" s="43">
        <v>46076.0</v>
      </c>
      <c r="C102" s="20">
        <v>0.4791666666678793</v>
      </c>
      <c r="D102" s="21" t="s">
        <v>96</v>
      </c>
      <c r="E102" s="23">
        <v>650000.0</v>
      </c>
      <c r="F102" s="23">
        <v>300000.0</v>
      </c>
      <c r="G102" s="23">
        <v>0.0</v>
      </c>
      <c r="H102" s="22"/>
      <c r="I102" s="22"/>
      <c r="J102" s="23">
        <f t="shared" si="9"/>
        <v>350000</v>
      </c>
      <c r="K102" s="17" t="s">
        <v>17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8">
        <v>99.0</v>
      </c>
      <c r="B103" s="43">
        <v>46076.0</v>
      </c>
      <c r="C103" s="30"/>
      <c r="D103" s="21" t="s">
        <v>97</v>
      </c>
      <c r="E103" s="23">
        <v>1500000.0</v>
      </c>
      <c r="F103" s="23">
        <v>800000.0</v>
      </c>
      <c r="G103" s="23">
        <v>0.0</v>
      </c>
      <c r="H103" s="22"/>
      <c r="I103" s="22"/>
      <c r="J103" s="23">
        <f t="shared" si="9"/>
        <v>700000</v>
      </c>
      <c r="K103" s="17" t="s">
        <v>17</v>
      </c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8">
        <v>100.0</v>
      </c>
      <c r="B104" s="43">
        <v>46076.0</v>
      </c>
      <c r="C104" s="30"/>
      <c r="D104" s="21" t="s">
        <v>98</v>
      </c>
      <c r="E104" s="23">
        <v>900000.0</v>
      </c>
      <c r="F104" s="23">
        <v>300000.0</v>
      </c>
      <c r="G104" s="23">
        <v>0.0</v>
      </c>
      <c r="H104" s="22"/>
      <c r="I104" s="22"/>
      <c r="J104" s="23">
        <f t="shared" si="9"/>
        <v>600000</v>
      </c>
      <c r="K104" s="17" t="s">
        <v>17</v>
      </c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8">
        <v>101.0</v>
      </c>
      <c r="B105" s="43">
        <v>46076.0</v>
      </c>
      <c r="C105" s="30"/>
      <c r="D105" s="21" t="s">
        <v>99</v>
      </c>
      <c r="E105" s="23">
        <v>1500000.0</v>
      </c>
      <c r="F105" s="23">
        <v>700000.0</v>
      </c>
      <c r="G105" s="23">
        <v>0.0</v>
      </c>
      <c r="H105" s="22"/>
      <c r="I105" s="22"/>
      <c r="J105" s="23">
        <f t="shared" si="9"/>
        <v>800000</v>
      </c>
      <c r="K105" s="17" t="s">
        <v>17</v>
      </c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24">
        <v>102.0</v>
      </c>
      <c r="B106" s="44">
        <v>46078.0</v>
      </c>
      <c r="C106" s="31"/>
      <c r="D106" s="27" t="s">
        <v>100</v>
      </c>
      <c r="E106" s="29">
        <v>1000000.0</v>
      </c>
      <c r="F106" s="29">
        <v>350000.0</v>
      </c>
      <c r="G106" s="29">
        <v>0.0</v>
      </c>
      <c r="H106" s="28"/>
      <c r="I106" s="28"/>
      <c r="J106" s="29">
        <f t="shared" si="9"/>
        <v>650000</v>
      </c>
      <c r="K106" s="17" t="s">
        <v>17</v>
      </c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8">
        <v>103.0</v>
      </c>
      <c r="B107" s="43">
        <v>46078.0</v>
      </c>
      <c r="C107" s="30"/>
      <c r="D107" s="21" t="s">
        <v>101</v>
      </c>
      <c r="E107" s="23">
        <v>1500000.0</v>
      </c>
      <c r="F107" s="23">
        <v>500000.0</v>
      </c>
      <c r="G107" s="23">
        <v>0.0</v>
      </c>
      <c r="H107" s="22"/>
      <c r="I107" s="22"/>
      <c r="J107" s="23">
        <f t="shared" si="9"/>
        <v>1000000</v>
      </c>
      <c r="K107" s="17" t="s">
        <v>17</v>
      </c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8">
        <v>104.0</v>
      </c>
      <c r="B108" s="43">
        <v>46078.0</v>
      </c>
      <c r="C108" s="30"/>
      <c r="D108" s="21" t="s">
        <v>102</v>
      </c>
      <c r="E108" s="23">
        <v>500000.0</v>
      </c>
      <c r="F108" s="23">
        <v>250000.0</v>
      </c>
      <c r="G108" s="23">
        <v>0.0</v>
      </c>
      <c r="H108" s="22"/>
      <c r="I108" s="22"/>
      <c r="J108" s="23">
        <f t="shared" si="9"/>
        <v>250000</v>
      </c>
      <c r="K108" s="17" t="s">
        <v>17</v>
      </c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24">
        <v>105.0</v>
      </c>
      <c r="B109" s="44">
        <v>46079.0</v>
      </c>
      <c r="C109" s="31"/>
      <c r="D109" s="27" t="s">
        <v>103</v>
      </c>
      <c r="E109" s="29">
        <v>700000.0</v>
      </c>
      <c r="F109" s="29">
        <v>400000.0</v>
      </c>
      <c r="G109" s="29">
        <v>0.0</v>
      </c>
      <c r="H109" s="28"/>
      <c r="I109" s="28"/>
      <c r="J109" s="29">
        <f t="shared" si="9"/>
        <v>300000</v>
      </c>
      <c r="K109" s="17" t="s">
        <v>17</v>
      </c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24">
        <v>106.0</v>
      </c>
      <c r="B110" s="44">
        <v>46080.0</v>
      </c>
      <c r="C110" s="31"/>
      <c r="D110" s="27" t="s">
        <v>104</v>
      </c>
      <c r="E110" s="29">
        <v>500000.0</v>
      </c>
      <c r="F110" s="29">
        <v>200000.0</v>
      </c>
      <c r="G110" s="29">
        <v>0.0</v>
      </c>
      <c r="H110" s="28"/>
      <c r="I110" s="28"/>
      <c r="J110" s="29">
        <f t="shared" si="9"/>
        <v>300000</v>
      </c>
      <c r="K110" s="17" t="s">
        <v>17</v>
      </c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24">
        <v>107.0</v>
      </c>
      <c r="B111" s="44">
        <v>46081.0</v>
      </c>
      <c r="C111" s="31"/>
      <c r="D111" s="27" t="s">
        <v>105</v>
      </c>
      <c r="E111" s="29">
        <v>1000000.0</v>
      </c>
      <c r="F111" s="29">
        <v>350000.0</v>
      </c>
      <c r="G111" s="29">
        <v>0.0</v>
      </c>
      <c r="H111" s="29">
        <v>7800000.0</v>
      </c>
      <c r="I111" s="28"/>
      <c r="J111" s="29">
        <f t="shared" si="9"/>
        <v>-7150000</v>
      </c>
      <c r="K111" s="17" t="s">
        <v>17</v>
      </c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5" t="s">
        <v>19</v>
      </c>
      <c r="B112" s="6"/>
      <c r="C112" s="6"/>
      <c r="D112" s="6"/>
      <c r="E112" s="6"/>
      <c r="F112" s="6"/>
      <c r="G112" s="6"/>
      <c r="H112" s="6"/>
      <c r="I112" s="6"/>
      <c r="J112" s="7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24">
        <v>108.0</v>
      </c>
      <c r="B113" s="44">
        <v>46082.0</v>
      </c>
      <c r="C113" s="31"/>
      <c r="D113" s="27" t="s">
        <v>106</v>
      </c>
      <c r="E113" s="29">
        <v>1650000.0</v>
      </c>
      <c r="F113" s="29">
        <v>900000.0</v>
      </c>
      <c r="G113" s="29">
        <v>0.0</v>
      </c>
      <c r="H113" s="28"/>
      <c r="I113" s="28"/>
      <c r="J113" s="29">
        <f t="shared" ref="J113:J196" si="10">N(E113)-N(F113)-N(G113)-N(H113)-N(I113)</f>
        <v>750000</v>
      </c>
      <c r="K113" s="17" t="s">
        <v>19</v>
      </c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8">
        <v>109.0</v>
      </c>
      <c r="B114" s="43">
        <v>46082.0</v>
      </c>
      <c r="C114" s="30"/>
      <c r="D114" s="21" t="s">
        <v>107</v>
      </c>
      <c r="E114" s="23">
        <v>1500000.0</v>
      </c>
      <c r="F114" s="23">
        <v>700000.0</v>
      </c>
      <c r="G114" s="23">
        <v>0.0</v>
      </c>
      <c r="H114" s="22"/>
      <c r="I114" s="22"/>
      <c r="J114" s="23">
        <f t="shared" si="10"/>
        <v>800000</v>
      </c>
      <c r="K114" s="17" t="s">
        <v>19</v>
      </c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8">
        <v>110.0</v>
      </c>
      <c r="B115" s="43">
        <v>46082.0</v>
      </c>
      <c r="C115" s="30"/>
      <c r="D115" s="21" t="s">
        <v>108</v>
      </c>
      <c r="E115" s="23">
        <v>1750000.0</v>
      </c>
      <c r="F115" s="23">
        <v>900000.0</v>
      </c>
      <c r="G115" s="23">
        <v>0.0</v>
      </c>
      <c r="H115" s="22"/>
      <c r="I115" s="22"/>
      <c r="J115" s="23">
        <f t="shared" si="10"/>
        <v>850000</v>
      </c>
      <c r="K115" s="17" t="s">
        <v>19</v>
      </c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8">
        <v>111.0</v>
      </c>
      <c r="B116" s="43">
        <v>46082.0</v>
      </c>
      <c r="C116" s="30"/>
      <c r="D116" s="21" t="s">
        <v>109</v>
      </c>
      <c r="E116" s="23">
        <v>500000.0</v>
      </c>
      <c r="F116" s="23">
        <v>250000.0</v>
      </c>
      <c r="G116" s="23">
        <v>0.0</v>
      </c>
      <c r="H116" s="22"/>
      <c r="I116" s="22"/>
      <c r="J116" s="23">
        <f t="shared" si="10"/>
        <v>250000</v>
      </c>
      <c r="K116" s="17" t="s">
        <v>19</v>
      </c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24">
        <v>112.0</v>
      </c>
      <c r="B117" s="44">
        <v>46083.0</v>
      </c>
      <c r="C117" s="31"/>
      <c r="D117" s="27" t="s">
        <v>110</v>
      </c>
      <c r="E117" s="29">
        <v>1000000.0</v>
      </c>
      <c r="F117" s="29">
        <v>350000.0</v>
      </c>
      <c r="G117" s="29">
        <v>0.0</v>
      </c>
      <c r="H117" s="28"/>
      <c r="I117" s="28"/>
      <c r="J117" s="29">
        <f t="shared" si="10"/>
        <v>650000</v>
      </c>
      <c r="K117" s="17" t="s">
        <v>19</v>
      </c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8">
        <v>113.0</v>
      </c>
      <c r="B118" s="43">
        <v>46083.0</v>
      </c>
      <c r="C118" s="30"/>
      <c r="D118" s="21" t="s">
        <v>111</v>
      </c>
      <c r="E118" s="23">
        <v>1000000.0</v>
      </c>
      <c r="F118" s="23">
        <v>300000.0</v>
      </c>
      <c r="G118" s="23">
        <v>0.0</v>
      </c>
      <c r="H118" s="22"/>
      <c r="I118" s="22"/>
      <c r="J118" s="23">
        <f t="shared" si="10"/>
        <v>700000</v>
      </c>
      <c r="K118" s="17" t="s">
        <v>19</v>
      </c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8">
        <v>114.0</v>
      </c>
      <c r="B119" s="43">
        <v>46083.0</v>
      </c>
      <c r="C119" s="30"/>
      <c r="D119" s="21" t="s">
        <v>112</v>
      </c>
      <c r="E119" s="23">
        <v>500000.0</v>
      </c>
      <c r="F119" s="23">
        <v>250000.0</v>
      </c>
      <c r="G119" s="23">
        <v>0.0</v>
      </c>
      <c r="H119" s="22"/>
      <c r="I119" s="22"/>
      <c r="J119" s="23">
        <f t="shared" si="10"/>
        <v>250000</v>
      </c>
      <c r="K119" s="17" t="s">
        <v>19</v>
      </c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24">
        <v>115.0</v>
      </c>
      <c r="B120" s="44">
        <v>46084.0</v>
      </c>
      <c r="C120" s="31"/>
      <c r="D120" s="27" t="s">
        <v>113</v>
      </c>
      <c r="E120" s="29">
        <v>1200000.0</v>
      </c>
      <c r="F120" s="29">
        <v>550000.0</v>
      </c>
      <c r="G120" s="29">
        <v>0.0</v>
      </c>
      <c r="H120" s="28"/>
      <c r="I120" s="28"/>
      <c r="J120" s="29">
        <f t="shared" si="10"/>
        <v>650000</v>
      </c>
      <c r="K120" s="17" t="s">
        <v>19</v>
      </c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8">
        <v>116.0</v>
      </c>
      <c r="B121" s="43">
        <v>46084.0</v>
      </c>
      <c r="C121" s="30"/>
      <c r="D121" s="21" t="s">
        <v>114</v>
      </c>
      <c r="E121" s="23">
        <v>1200000.0</v>
      </c>
      <c r="F121" s="23">
        <v>550000.0</v>
      </c>
      <c r="G121" s="23">
        <v>0.0</v>
      </c>
      <c r="H121" s="22"/>
      <c r="I121" s="22"/>
      <c r="J121" s="23">
        <f t="shared" si="10"/>
        <v>650000</v>
      </c>
      <c r="K121" s="17" t="s">
        <v>19</v>
      </c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24">
        <v>117.0</v>
      </c>
      <c r="B122" s="44">
        <v>46086.0</v>
      </c>
      <c r="C122" s="26">
        <v>0.9930555555547471</v>
      </c>
      <c r="D122" s="27" t="s">
        <v>115</v>
      </c>
      <c r="E122" s="29">
        <v>1000000.0</v>
      </c>
      <c r="F122" s="29">
        <v>600000.0</v>
      </c>
      <c r="G122" s="29">
        <v>0.0</v>
      </c>
      <c r="H122" s="28"/>
      <c r="I122" s="28"/>
      <c r="J122" s="29">
        <f t="shared" si="10"/>
        <v>400000</v>
      </c>
      <c r="K122" s="17" t="s">
        <v>19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8">
        <v>118.0</v>
      </c>
      <c r="B123" s="43">
        <v>46086.0</v>
      </c>
      <c r="C123" s="30"/>
      <c r="D123" s="21" t="s">
        <v>116</v>
      </c>
      <c r="E123" s="23">
        <v>500000.0</v>
      </c>
      <c r="F123" s="23">
        <v>350000.0</v>
      </c>
      <c r="G123" s="23">
        <v>0.0</v>
      </c>
      <c r="H123" s="22"/>
      <c r="I123" s="22"/>
      <c r="J123" s="23">
        <f t="shared" si="10"/>
        <v>150000</v>
      </c>
      <c r="K123" s="17" t="s">
        <v>19</v>
      </c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8">
        <v>119.0</v>
      </c>
      <c r="B124" s="43">
        <v>46086.0</v>
      </c>
      <c r="C124" s="30"/>
      <c r="D124" s="21" t="s">
        <v>117</v>
      </c>
      <c r="E124" s="23">
        <v>1500000.0</v>
      </c>
      <c r="F124" s="23">
        <v>700000.0</v>
      </c>
      <c r="G124" s="23">
        <v>0.0</v>
      </c>
      <c r="H124" s="22"/>
      <c r="I124" s="22"/>
      <c r="J124" s="23">
        <f t="shared" si="10"/>
        <v>800000</v>
      </c>
      <c r="K124" s="17" t="s">
        <v>19</v>
      </c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24">
        <v>120.0</v>
      </c>
      <c r="B125" s="44">
        <v>46087.0</v>
      </c>
      <c r="C125" s="31"/>
      <c r="D125" s="27" t="s">
        <v>118</v>
      </c>
      <c r="E125" s="29">
        <v>1500000.0</v>
      </c>
      <c r="F125" s="29">
        <v>1100000.0</v>
      </c>
      <c r="G125" s="29">
        <v>0.0</v>
      </c>
      <c r="H125" s="28"/>
      <c r="I125" s="28"/>
      <c r="J125" s="29">
        <f t="shared" si="10"/>
        <v>400000</v>
      </c>
      <c r="K125" s="17" t="s">
        <v>19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8">
        <v>121.0</v>
      </c>
      <c r="B126" s="43">
        <v>46087.0</v>
      </c>
      <c r="C126" s="30"/>
      <c r="D126" s="21" t="s">
        <v>119</v>
      </c>
      <c r="E126" s="23">
        <v>800000.0</v>
      </c>
      <c r="F126" s="23">
        <v>400000.0</v>
      </c>
      <c r="G126" s="23">
        <v>0.0</v>
      </c>
      <c r="H126" s="22"/>
      <c r="I126" s="22"/>
      <c r="J126" s="23">
        <f t="shared" si="10"/>
        <v>400000</v>
      </c>
      <c r="K126" s="17" t="s">
        <v>19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24">
        <v>122.0</v>
      </c>
      <c r="B127" s="44">
        <v>46088.0</v>
      </c>
      <c r="C127" s="31"/>
      <c r="D127" s="27" t="s">
        <v>120</v>
      </c>
      <c r="E127" s="29">
        <v>4000000.0</v>
      </c>
      <c r="F127" s="29">
        <v>2350000.0</v>
      </c>
      <c r="G127" s="29">
        <v>0.0</v>
      </c>
      <c r="H127" s="28"/>
      <c r="I127" s="28"/>
      <c r="J127" s="29">
        <f t="shared" si="10"/>
        <v>1650000</v>
      </c>
      <c r="K127" s="17" t="s">
        <v>19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24">
        <v>123.0</v>
      </c>
      <c r="B128" s="44">
        <v>46089.0</v>
      </c>
      <c r="C128" s="26">
        <v>0.25</v>
      </c>
      <c r="D128" s="27" t="s">
        <v>121</v>
      </c>
      <c r="E128" s="29">
        <v>1000000.0</v>
      </c>
      <c r="F128" s="29">
        <v>400000.0</v>
      </c>
      <c r="G128" s="29">
        <v>0.0</v>
      </c>
      <c r="H128" s="28"/>
      <c r="I128" s="28"/>
      <c r="J128" s="29">
        <f t="shared" si="10"/>
        <v>600000</v>
      </c>
      <c r="K128" s="17" t="s">
        <v>19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8">
        <v>124.0</v>
      </c>
      <c r="B129" s="43">
        <v>46089.0</v>
      </c>
      <c r="C129" s="20">
        <v>0.375</v>
      </c>
      <c r="D129" s="21" t="s">
        <v>122</v>
      </c>
      <c r="E129" s="23">
        <v>4500000.0</v>
      </c>
      <c r="F129" s="23">
        <v>1500000.0</v>
      </c>
      <c r="G129" s="23">
        <v>0.0</v>
      </c>
      <c r="H129" s="22"/>
      <c r="I129" s="22"/>
      <c r="J129" s="23">
        <f t="shared" si="10"/>
        <v>3000000</v>
      </c>
      <c r="K129" s="17" t="s">
        <v>19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8">
        <v>125.0</v>
      </c>
      <c r="B130" s="43">
        <v>46089.0</v>
      </c>
      <c r="C130" s="30"/>
      <c r="D130" s="21" t="s">
        <v>123</v>
      </c>
      <c r="E130" s="23">
        <v>2000000.0</v>
      </c>
      <c r="F130" s="23">
        <v>1000000.0</v>
      </c>
      <c r="G130" s="23">
        <v>0.0</v>
      </c>
      <c r="H130" s="22"/>
      <c r="I130" s="22"/>
      <c r="J130" s="23">
        <f t="shared" si="10"/>
        <v>1000000</v>
      </c>
      <c r="K130" s="17" t="s">
        <v>19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8">
        <v>126.0</v>
      </c>
      <c r="B131" s="43">
        <v>46089.0</v>
      </c>
      <c r="C131" s="30"/>
      <c r="D131" s="21" t="s">
        <v>124</v>
      </c>
      <c r="E131" s="23">
        <v>1500000.0</v>
      </c>
      <c r="F131" s="23">
        <v>700000.0</v>
      </c>
      <c r="G131" s="23">
        <v>0.0</v>
      </c>
      <c r="H131" s="22"/>
      <c r="I131" s="22"/>
      <c r="J131" s="23">
        <f t="shared" si="10"/>
        <v>800000</v>
      </c>
      <c r="K131" s="17" t="s">
        <v>19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8">
        <v>127.0</v>
      </c>
      <c r="B132" s="43">
        <v>46089.0</v>
      </c>
      <c r="C132" s="30"/>
      <c r="D132" s="21" t="s">
        <v>125</v>
      </c>
      <c r="E132" s="23">
        <v>500000.0</v>
      </c>
      <c r="F132" s="23">
        <v>250000.0</v>
      </c>
      <c r="G132" s="23">
        <v>0.0</v>
      </c>
      <c r="H132" s="22"/>
      <c r="I132" s="22"/>
      <c r="J132" s="23">
        <f t="shared" si="10"/>
        <v>250000</v>
      </c>
      <c r="K132" s="17" t="s">
        <v>19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8">
        <v>128.0</v>
      </c>
      <c r="B133" s="43">
        <v>46089.0</v>
      </c>
      <c r="C133" s="30"/>
      <c r="D133" s="21" t="s">
        <v>126</v>
      </c>
      <c r="E133" s="23">
        <v>4700000.0</v>
      </c>
      <c r="F133" s="23">
        <v>2000000.0</v>
      </c>
      <c r="G133" s="23">
        <v>0.0</v>
      </c>
      <c r="H133" s="22"/>
      <c r="I133" s="22"/>
      <c r="J133" s="23">
        <f t="shared" si="10"/>
        <v>2700000</v>
      </c>
      <c r="K133" s="17" t="s">
        <v>19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8">
        <v>129.0</v>
      </c>
      <c r="B134" s="43">
        <v>46089.0</v>
      </c>
      <c r="C134" s="30"/>
      <c r="D134" s="21" t="s">
        <v>127</v>
      </c>
      <c r="E134" s="23">
        <v>500000.0</v>
      </c>
      <c r="F134" s="23">
        <v>500000.0</v>
      </c>
      <c r="G134" s="23">
        <v>0.0</v>
      </c>
      <c r="H134" s="22"/>
      <c r="I134" s="22"/>
      <c r="J134" s="23">
        <f t="shared" si="10"/>
        <v>0</v>
      </c>
      <c r="K134" s="17" t="s">
        <v>19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8">
        <v>130.0</v>
      </c>
      <c r="B135" s="43">
        <v>46089.0</v>
      </c>
      <c r="C135" s="30"/>
      <c r="D135" s="21" t="s">
        <v>128</v>
      </c>
      <c r="E135" s="23">
        <v>1250000.0</v>
      </c>
      <c r="F135" s="23">
        <v>600000.0</v>
      </c>
      <c r="G135" s="23">
        <v>0.0</v>
      </c>
      <c r="H135" s="22"/>
      <c r="I135" s="22"/>
      <c r="J135" s="23">
        <f t="shared" si="10"/>
        <v>650000</v>
      </c>
      <c r="K135" s="17" t="s">
        <v>19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8">
        <v>131.0</v>
      </c>
      <c r="B136" s="43">
        <v>46089.0</v>
      </c>
      <c r="C136" s="30"/>
      <c r="D136" s="21" t="s">
        <v>129</v>
      </c>
      <c r="E136" s="23">
        <v>1000000.0</v>
      </c>
      <c r="F136" s="23">
        <v>350000.0</v>
      </c>
      <c r="G136" s="23">
        <v>0.0</v>
      </c>
      <c r="H136" s="22"/>
      <c r="I136" s="22"/>
      <c r="J136" s="23">
        <f t="shared" si="10"/>
        <v>650000</v>
      </c>
      <c r="K136" s="17" t="s">
        <v>19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8">
        <v>132.0</v>
      </c>
      <c r="B137" s="43">
        <v>46089.0</v>
      </c>
      <c r="C137" s="30"/>
      <c r="D137" s="21" t="s">
        <v>130</v>
      </c>
      <c r="E137" s="23">
        <v>1700000.0</v>
      </c>
      <c r="F137" s="23">
        <v>800000.0</v>
      </c>
      <c r="G137" s="23">
        <v>0.0</v>
      </c>
      <c r="H137" s="22"/>
      <c r="I137" s="22"/>
      <c r="J137" s="23">
        <f t="shared" si="10"/>
        <v>900000</v>
      </c>
      <c r="K137" s="17" t="s">
        <v>19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8">
        <v>133.0</v>
      </c>
      <c r="B138" s="43">
        <v>46089.0</v>
      </c>
      <c r="C138" s="30"/>
      <c r="D138" s="21" t="s">
        <v>131</v>
      </c>
      <c r="E138" s="23">
        <v>2000000.0</v>
      </c>
      <c r="F138" s="23">
        <v>900000.0</v>
      </c>
      <c r="G138" s="23">
        <v>0.0</v>
      </c>
      <c r="H138" s="22"/>
      <c r="I138" s="22"/>
      <c r="J138" s="23">
        <f t="shared" si="10"/>
        <v>1100000</v>
      </c>
      <c r="K138" s="17" t="s">
        <v>19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8">
        <v>134.0</v>
      </c>
      <c r="B139" s="43">
        <v>46089.0</v>
      </c>
      <c r="C139" s="30"/>
      <c r="D139" s="21" t="s">
        <v>132</v>
      </c>
      <c r="E139" s="23">
        <v>1000000.0</v>
      </c>
      <c r="F139" s="23">
        <v>300000.0</v>
      </c>
      <c r="G139" s="23">
        <v>0.0</v>
      </c>
      <c r="H139" s="22"/>
      <c r="I139" s="22"/>
      <c r="J139" s="23">
        <f t="shared" si="10"/>
        <v>700000</v>
      </c>
      <c r="K139" s="17" t="s">
        <v>19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8">
        <v>135.0</v>
      </c>
      <c r="B140" s="43">
        <v>46089.0</v>
      </c>
      <c r="C140" s="30"/>
      <c r="D140" s="21" t="s">
        <v>133</v>
      </c>
      <c r="E140" s="23">
        <v>3000000.0</v>
      </c>
      <c r="F140" s="23">
        <v>1900000.0</v>
      </c>
      <c r="G140" s="23">
        <v>0.0</v>
      </c>
      <c r="H140" s="22"/>
      <c r="I140" s="22"/>
      <c r="J140" s="23">
        <f t="shared" si="10"/>
        <v>1100000</v>
      </c>
      <c r="K140" s="17" t="s">
        <v>19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8">
        <v>136.0</v>
      </c>
      <c r="B141" s="43">
        <v>46089.0</v>
      </c>
      <c r="C141" s="30"/>
      <c r="D141" s="21" t="s">
        <v>134</v>
      </c>
      <c r="E141" s="23">
        <v>3500000.0</v>
      </c>
      <c r="F141" s="23">
        <v>2000000.0</v>
      </c>
      <c r="G141" s="23">
        <v>0.0</v>
      </c>
      <c r="H141" s="22"/>
      <c r="I141" s="22"/>
      <c r="J141" s="23">
        <f t="shared" si="10"/>
        <v>1500000</v>
      </c>
      <c r="K141" s="17" t="s">
        <v>19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8">
        <v>137.0</v>
      </c>
      <c r="B142" s="43">
        <v>46089.0</v>
      </c>
      <c r="C142" s="30"/>
      <c r="D142" s="21" t="s">
        <v>135</v>
      </c>
      <c r="E142" s="23">
        <v>3000000.0</v>
      </c>
      <c r="F142" s="23">
        <v>900000.0</v>
      </c>
      <c r="G142" s="23">
        <v>450000.0</v>
      </c>
      <c r="H142" s="22"/>
      <c r="I142" s="22"/>
      <c r="J142" s="23">
        <f t="shared" si="10"/>
        <v>1650000</v>
      </c>
      <c r="K142" s="17" t="s">
        <v>19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8">
        <v>138.0</v>
      </c>
      <c r="B143" s="43">
        <v>46089.0</v>
      </c>
      <c r="C143" s="30"/>
      <c r="D143" s="21" t="s">
        <v>136</v>
      </c>
      <c r="E143" s="23">
        <v>3000000.0</v>
      </c>
      <c r="F143" s="23">
        <v>900000.0</v>
      </c>
      <c r="G143" s="23">
        <v>500000.0</v>
      </c>
      <c r="H143" s="22"/>
      <c r="I143" s="22"/>
      <c r="J143" s="23">
        <f t="shared" si="10"/>
        <v>1600000</v>
      </c>
      <c r="K143" s="17" t="s">
        <v>19</v>
      </c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8">
        <v>139.0</v>
      </c>
      <c r="B144" s="43">
        <v>46089.0</v>
      </c>
      <c r="C144" s="30"/>
      <c r="D144" s="21" t="s">
        <v>137</v>
      </c>
      <c r="E144" s="23">
        <v>2800000.0</v>
      </c>
      <c r="F144" s="23">
        <v>650000.0</v>
      </c>
      <c r="G144" s="23">
        <v>600000.0</v>
      </c>
      <c r="H144" s="22"/>
      <c r="I144" s="22"/>
      <c r="J144" s="23">
        <f t="shared" si="10"/>
        <v>1550000</v>
      </c>
      <c r="K144" s="17" t="s">
        <v>19</v>
      </c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24">
        <v>140.0</v>
      </c>
      <c r="B145" s="44">
        <v>46090.0</v>
      </c>
      <c r="C145" s="26">
        <v>0.3333333333321207</v>
      </c>
      <c r="D145" s="27" t="s">
        <v>138</v>
      </c>
      <c r="E145" s="29">
        <v>1500000.0</v>
      </c>
      <c r="F145" s="29">
        <v>800000.0</v>
      </c>
      <c r="G145" s="29">
        <v>0.0</v>
      </c>
      <c r="H145" s="28"/>
      <c r="I145" s="28"/>
      <c r="J145" s="29">
        <f t="shared" si="10"/>
        <v>700000</v>
      </c>
      <c r="K145" s="17" t="s">
        <v>19</v>
      </c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8">
        <v>141.0</v>
      </c>
      <c r="B146" s="43">
        <v>46090.0</v>
      </c>
      <c r="C146" s="30"/>
      <c r="D146" s="21" t="s">
        <v>139</v>
      </c>
      <c r="E146" s="23">
        <v>1500000.0</v>
      </c>
      <c r="F146" s="23">
        <v>800000.0</v>
      </c>
      <c r="G146" s="23">
        <v>0.0</v>
      </c>
      <c r="H146" s="22"/>
      <c r="I146" s="22"/>
      <c r="J146" s="23">
        <f t="shared" si="10"/>
        <v>700000</v>
      </c>
      <c r="K146" s="17" t="s">
        <v>19</v>
      </c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8">
        <v>142.0</v>
      </c>
      <c r="B147" s="43">
        <v>46090.0</v>
      </c>
      <c r="C147" s="30"/>
      <c r="D147" s="21" t="s">
        <v>140</v>
      </c>
      <c r="E147" s="23">
        <v>1500000.0</v>
      </c>
      <c r="F147" s="23">
        <v>800000.0</v>
      </c>
      <c r="G147" s="23">
        <v>0.0</v>
      </c>
      <c r="H147" s="22"/>
      <c r="I147" s="22"/>
      <c r="J147" s="23">
        <f t="shared" si="10"/>
        <v>700000</v>
      </c>
      <c r="K147" s="17" t="s">
        <v>19</v>
      </c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24">
        <v>143.0</v>
      </c>
      <c r="B148" s="44">
        <v>46091.0</v>
      </c>
      <c r="C148" s="31"/>
      <c r="D148" s="27" t="s">
        <v>141</v>
      </c>
      <c r="E148" s="29">
        <v>1000000.0</v>
      </c>
      <c r="F148" s="29">
        <v>300000.0</v>
      </c>
      <c r="G148" s="29">
        <v>0.0</v>
      </c>
      <c r="H148" s="28"/>
      <c r="I148" s="28"/>
      <c r="J148" s="29">
        <f t="shared" si="10"/>
        <v>700000</v>
      </c>
      <c r="K148" s="17" t="s">
        <v>19</v>
      </c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8">
        <v>144.0</v>
      </c>
      <c r="B149" s="43">
        <v>46091.0</v>
      </c>
      <c r="C149" s="30"/>
      <c r="D149" s="21" t="s">
        <v>142</v>
      </c>
      <c r="E149" s="23">
        <v>1500000.0</v>
      </c>
      <c r="F149" s="23">
        <v>800000.0</v>
      </c>
      <c r="G149" s="23">
        <v>0.0</v>
      </c>
      <c r="H149" s="22"/>
      <c r="I149" s="22"/>
      <c r="J149" s="23">
        <f t="shared" si="10"/>
        <v>700000</v>
      </c>
      <c r="K149" s="17" t="s">
        <v>19</v>
      </c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8">
        <v>145.0</v>
      </c>
      <c r="B150" s="43">
        <v>46091.0</v>
      </c>
      <c r="C150" s="30"/>
      <c r="D150" s="21" t="s">
        <v>143</v>
      </c>
      <c r="E150" s="23">
        <v>2000000.0</v>
      </c>
      <c r="F150" s="23">
        <v>1000000.0</v>
      </c>
      <c r="G150" s="23">
        <v>0.0</v>
      </c>
      <c r="H150" s="22"/>
      <c r="I150" s="22"/>
      <c r="J150" s="23">
        <f t="shared" si="10"/>
        <v>1000000</v>
      </c>
      <c r="K150" s="17" t="s">
        <v>19</v>
      </c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24">
        <v>146.0</v>
      </c>
      <c r="B151" s="44">
        <v>46092.0</v>
      </c>
      <c r="C151" s="31"/>
      <c r="D151" s="27" t="s">
        <v>144</v>
      </c>
      <c r="E151" s="29">
        <v>1000000.0</v>
      </c>
      <c r="F151" s="29">
        <v>300000.0</v>
      </c>
      <c r="G151" s="29">
        <v>0.0</v>
      </c>
      <c r="H151" s="28"/>
      <c r="I151" s="28"/>
      <c r="J151" s="29">
        <f t="shared" si="10"/>
        <v>700000</v>
      </c>
      <c r="K151" s="17" t="s">
        <v>19</v>
      </c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8">
        <v>147.0</v>
      </c>
      <c r="B152" s="43">
        <v>46092.0</v>
      </c>
      <c r="C152" s="30"/>
      <c r="D152" s="21" t="s">
        <v>145</v>
      </c>
      <c r="E152" s="23">
        <v>1500000.0</v>
      </c>
      <c r="F152" s="23">
        <v>800000.0</v>
      </c>
      <c r="G152" s="23">
        <v>0.0</v>
      </c>
      <c r="H152" s="22"/>
      <c r="I152" s="22"/>
      <c r="J152" s="23">
        <f t="shared" si="10"/>
        <v>700000</v>
      </c>
      <c r="K152" s="17" t="s">
        <v>19</v>
      </c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8">
        <v>148.0</v>
      </c>
      <c r="B153" s="43">
        <v>46092.0</v>
      </c>
      <c r="C153" s="30"/>
      <c r="D153" s="21" t="s">
        <v>146</v>
      </c>
      <c r="E153" s="23">
        <v>1500000.0</v>
      </c>
      <c r="F153" s="23">
        <v>800000.0</v>
      </c>
      <c r="G153" s="23">
        <v>0.0</v>
      </c>
      <c r="H153" s="22"/>
      <c r="I153" s="22"/>
      <c r="J153" s="23">
        <f t="shared" si="10"/>
        <v>700000</v>
      </c>
      <c r="K153" s="17" t="s">
        <v>19</v>
      </c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24">
        <v>149.0</v>
      </c>
      <c r="B154" s="44">
        <v>46093.0</v>
      </c>
      <c r="C154" s="31"/>
      <c r="D154" s="27" t="s">
        <v>147</v>
      </c>
      <c r="E154" s="29">
        <v>1000000.0</v>
      </c>
      <c r="F154" s="29">
        <v>300000.0</v>
      </c>
      <c r="G154" s="29">
        <v>0.0</v>
      </c>
      <c r="H154" s="28"/>
      <c r="I154" s="28"/>
      <c r="J154" s="29">
        <f t="shared" si="10"/>
        <v>700000</v>
      </c>
      <c r="K154" s="17" t="s">
        <v>19</v>
      </c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24">
        <v>150.0</v>
      </c>
      <c r="B155" s="44">
        <v>46094.0</v>
      </c>
      <c r="C155" s="31"/>
      <c r="D155" s="27" t="s">
        <v>148</v>
      </c>
      <c r="E155" s="29">
        <v>500000.0</v>
      </c>
      <c r="F155" s="29">
        <v>200000.0</v>
      </c>
      <c r="G155" s="29">
        <v>0.0</v>
      </c>
      <c r="H155" s="28"/>
      <c r="I155" s="28"/>
      <c r="J155" s="29">
        <f t="shared" si="10"/>
        <v>300000</v>
      </c>
      <c r="K155" s="17" t="s">
        <v>19</v>
      </c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24">
        <v>151.0</v>
      </c>
      <c r="B156" s="44">
        <v>46095.0</v>
      </c>
      <c r="C156" s="31"/>
      <c r="D156" s="27" t="s">
        <v>149</v>
      </c>
      <c r="E156" s="29">
        <v>500000.0</v>
      </c>
      <c r="F156" s="29">
        <v>250000.0</v>
      </c>
      <c r="G156" s="29">
        <v>0.0</v>
      </c>
      <c r="H156" s="28"/>
      <c r="I156" s="28"/>
      <c r="J156" s="29">
        <f t="shared" si="10"/>
        <v>250000</v>
      </c>
      <c r="K156" s="17" t="s">
        <v>19</v>
      </c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8">
        <v>152.0</v>
      </c>
      <c r="B157" s="43">
        <v>46095.0</v>
      </c>
      <c r="C157" s="30"/>
      <c r="D157" s="21" t="s">
        <v>150</v>
      </c>
      <c r="E157" s="23">
        <v>500000.0</v>
      </c>
      <c r="F157" s="23">
        <v>200000.0</v>
      </c>
      <c r="G157" s="23">
        <v>0.0</v>
      </c>
      <c r="H157" s="22"/>
      <c r="I157" s="22"/>
      <c r="J157" s="23">
        <f t="shared" si="10"/>
        <v>300000</v>
      </c>
      <c r="K157" s="17" t="s">
        <v>19</v>
      </c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24">
        <v>153.0</v>
      </c>
      <c r="B158" s="44">
        <v>46096.0</v>
      </c>
      <c r="C158" s="26">
        <v>0.2916666666678793</v>
      </c>
      <c r="D158" s="27" t="s">
        <v>151</v>
      </c>
      <c r="E158" s="29">
        <v>1000000.0</v>
      </c>
      <c r="F158" s="29">
        <v>300000.0</v>
      </c>
      <c r="G158" s="29">
        <v>0.0</v>
      </c>
      <c r="H158" s="28"/>
      <c r="I158" s="28"/>
      <c r="J158" s="29">
        <f t="shared" si="10"/>
        <v>700000</v>
      </c>
      <c r="K158" s="17" t="s">
        <v>19</v>
      </c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8">
        <v>154.0</v>
      </c>
      <c r="B159" s="43">
        <v>46096.0</v>
      </c>
      <c r="C159" s="20">
        <v>0.3333333333321207</v>
      </c>
      <c r="D159" s="21" t="s">
        <v>152</v>
      </c>
      <c r="E159" s="23">
        <v>500000.0</v>
      </c>
      <c r="F159" s="23">
        <v>250000.0</v>
      </c>
      <c r="G159" s="23">
        <v>0.0</v>
      </c>
      <c r="H159" s="22"/>
      <c r="I159" s="22"/>
      <c r="J159" s="23">
        <f t="shared" si="10"/>
        <v>250000</v>
      </c>
      <c r="K159" s="17" t="s">
        <v>19</v>
      </c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8">
        <v>155.0</v>
      </c>
      <c r="B160" s="43">
        <v>46096.0</v>
      </c>
      <c r="C160" s="20">
        <v>0.3541666666678793</v>
      </c>
      <c r="D160" s="21" t="s">
        <v>153</v>
      </c>
      <c r="E160" s="23">
        <v>1300000.0</v>
      </c>
      <c r="F160" s="23">
        <v>600000.0</v>
      </c>
      <c r="G160" s="23">
        <v>0.0</v>
      </c>
      <c r="H160" s="22"/>
      <c r="I160" s="22"/>
      <c r="J160" s="23">
        <f t="shared" si="10"/>
        <v>700000</v>
      </c>
      <c r="K160" s="17" t="s">
        <v>19</v>
      </c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8">
        <v>156.0</v>
      </c>
      <c r="B161" s="43">
        <v>46096.0</v>
      </c>
      <c r="C161" s="20">
        <v>0.3541666666678793</v>
      </c>
      <c r="D161" s="21" t="s">
        <v>154</v>
      </c>
      <c r="E161" s="23">
        <v>500000.0</v>
      </c>
      <c r="F161" s="23">
        <v>250000.0</v>
      </c>
      <c r="G161" s="23">
        <v>0.0</v>
      </c>
      <c r="H161" s="22"/>
      <c r="I161" s="22"/>
      <c r="J161" s="23">
        <f t="shared" si="10"/>
        <v>250000</v>
      </c>
      <c r="K161" s="17" t="s">
        <v>19</v>
      </c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8">
        <v>157.0</v>
      </c>
      <c r="B162" s="43">
        <v>46096.0</v>
      </c>
      <c r="C162" s="30"/>
      <c r="D162" s="21" t="s">
        <v>155</v>
      </c>
      <c r="E162" s="23">
        <v>1000000.0</v>
      </c>
      <c r="F162" s="23">
        <v>300000.0</v>
      </c>
      <c r="G162" s="23">
        <v>0.0</v>
      </c>
      <c r="H162" s="22"/>
      <c r="I162" s="22"/>
      <c r="J162" s="23">
        <f t="shared" si="10"/>
        <v>700000</v>
      </c>
      <c r="K162" s="17" t="s">
        <v>19</v>
      </c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8">
        <v>158.0</v>
      </c>
      <c r="B163" s="43">
        <v>46096.0</v>
      </c>
      <c r="C163" s="30"/>
      <c r="D163" s="21" t="s">
        <v>156</v>
      </c>
      <c r="E163" s="23">
        <v>550000.0</v>
      </c>
      <c r="F163" s="23">
        <v>250000.0</v>
      </c>
      <c r="G163" s="23">
        <v>0.0</v>
      </c>
      <c r="H163" s="22"/>
      <c r="I163" s="22"/>
      <c r="J163" s="23">
        <f t="shared" si="10"/>
        <v>300000</v>
      </c>
      <c r="K163" s="17" t="s">
        <v>19</v>
      </c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24">
        <v>159.0</v>
      </c>
      <c r="B164" s="44">
        <v>46097.0</v>
      </c>
      <c r="C164" s="31"/>
      <c r="D164" s="27" t="s">
        <v>157</v>
      </c>
      <c r="E164" s="29">
        <v>500000.0</v>
      </c>
      <c r="F164" s="29">
        <v>500000.0</v>
      </c>
      <c r="G164" s="29">
        <v>0.0</v>
      </c>
      <c r="H164" s="28"/>
      <c r="I164" s="28"/>
      <c r="J164" s="29">
        <f t="shared" si="10"/>
        <v>0</v>
      </c>
      <c r="K164" s="17" t="s">
        <v>19</v>
      </c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8">
        <v>160.0</v>
      </c>
      <c r="B165" s="43">
        <v>46097.0</v>
      </c>
      <c r="C165" s="30"/>
      <c r="D165" s="21" t="s">
        <v>158</v>
      </c>
      <c r="E165" s="23">
        <v>900000.0</v>
      </c>
      <c r="F165" s="23">
        <v>600000.0</v>
      </c>
      <c r="G165" s="23">
        <v>0.0</v>
      </c>
      <c r="H165" s="22"/>
      <c r="I165" s="22"/>
      <c r="J165" s="23">
        <f t="shared" si="10"/>
        <v>300000</v>
      </c>
      <c r="K165" s="17" t="s">
        <v>19</v>
      </c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24">
        <v>161.0</v>
      </c>
      <c r="B166" s="44">
        <v>46098.0</v>
      </c>
      <c r="C166" s="26">
        <v>0.25</v>
      </c>
      <c r="D166" s="27" t="s">
        <v>159</v>
      </c>
      <c r="E166" s="29">
        <v>550000.0</v>
      </c>
      <c r="F166" s="29">
        <v>300000.0</v>
      </c>
      <c r="G166" s="29">
        <v>0.0</v>
      </c>
      <c r="H166" s="28"/>
      <c r="I166" s="28"/>
      <c r="J166" s="29">
        <f t="shared" si="10"/>
        <v>250000</v>
      </c>
      <c r="K166" s="17" t="s">
        <v>19</v>
      </c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8">
        <v>162.0</v>
      </c>
      <c r="B167" s="43">
        <v>46098.0</v>
      </c>
      <c r="C167" s="30"/>
      <c r="D167" s="21" t="s">
        <v>160</v>
      </c>
      <c r="E167" s="23">
        <v>800000.0</v>
      </c>
      <c r="F167" s="23">
        <v>300000.0</v>
      </c>
      <c r="G167" s="23">
        <v>0.0</v>
      </c>
      <c r="H167" s="22"/>
      <c r="I167" s="22"/>
      <c r="J167" s="23">
        <f t="shared" si="10"/>
        <v>500000</v>
      </c>
      <c r="K167" s="17" t="s">
        <v>19</v>
      </c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24">
        <v>163.0</v>
      </c>
      <c r="B168" s="44">
        <v>46099.0</v>
      </c>
      <c r="C168" s="26">
        <v>0.3333333333321207</v>
      </c>
      <c r="D168" s="27" t="s">
        <v>161</v>
      </c>
      <c r="E168" s="29">
        <v>1500000.0</v>
      </c>
      <c r="F168" s="29">
        <v>800000.0</v>
      </c>
      <c r="G168" s="29">
        <v>0.0</v>
      </c>
      <c r="H168" s="28"/>
      <c r="I168" s="28"/>
      <c r="J168" s="29">
        <f t="shared" si="10"/>
        <v>700000</v>
      </c>
      <c r="K168" s="17" t="s">
        <v>19</v>
      </c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8">
        <v>164.0</v>
      </c>
      <c r="B169" s="43">
        <v>46099.0</v>
      </c>
      <c r="C169" s="20">
        <v>0.375</v>
      </c>
      <c r="D169" s="21" t="s">
        <v>162</v>
      </c>
      <c r="E169" s="23">
        <v>500000.0</v>
      </c>
      <c r="F169" s="23">
        <v>200000.0</v>
      </c>
      <c r="G169" s="23">
        <v>0.0</v>
      </c>
      <c r="H169" s="22"/>
      <c r="I169" s="22"/>
      <c r="J169" s="23">
        <f t="shared" si="10"/>
        <v>300000</v>
      </c>
      <c r="K169" s="17" t="s">
        <v>19</v>
      </c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8">
        <v>165.0</v>
      </c>
      <c r="B170" s="43">
        <v>46099.0</v>
      </c>
      <c r="C170" s="30"/>
      <c r="D170" s="21" t="s">
        <v>163</v>
      </c>
      <c r="E170" s="23">
        <v>500000.0</v>
      </c>
      <c r="F170" s="23">
        <v>200000.0</v>
      </c>
      <c r="G170" s="23">
        <v>0.0</v>
      </c>
      <c r="H170" s="22"/>
      <c r="I170" s="22"/>
      <c r="J170" s="23">
        <f t="shared" si="10"/>
        <v>300000</v>
      </c>
      <c r="K170" s="17" t="s">
        <v>19</v>
      </c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8">
        <v>166.0</v>
      </c>
      <c r="B171" s="43">
        <v>46099.0</v>
      </c>
      <c r="C171" s="30"/>
      <c r="D171" s="21" t="s">
        <v>164</v>
      </c>
      <c r="E171" s="23">
        <v>1000000.0</v>
      </c>
      <c r="F171" s="23">
        <v>500000.0</v>
      </c>
      <c r="G171" s="23">
        <v>0.0</v>
      </c>
      <c r="H171" s="22"/>
      <c r="I171" s="22"/>
      <c r="J171" s="23">
        <f t="shared" si="10"/>
        <v>500000</v>
      </c>
      <c r="K171" s="17" t="s">
        <v>19</v>
      </c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8">
        <v>167.0</v>
      </c>
      <c r="B172" s="43">
        <v>46099.0</v>
      </c>
      <c r="C172" s="30"/>
      <c r="D172" s="21" t="s">
        <v>165</v>
      </c>
      <c r="E172" s="23">
        <v>1500000.0</v>
      </c>
      <c r="F172" s="23">
        <v>700000.0</v>
      </c>
      <c r="G172" s="23">
        <v>0.0</v>
      </c>
      <c r="H172" s="22"/>
      <c r="I172" s="22"/>
      <c r="J172" s="23">
        <f t="shared" si="10"/>
        <v>800000</v>
      </c>
      <c r="K172" s="17" t="s">
        <v>19</v>
      </c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24">
        <v>168.0</v>
      </c>
      <c r="B173" s="44">
        <v>46100.0</v>
      </c>
      <c r="C173" s="26">
        <v>0.2916666666678793</v>
      </c>
      <c r="D173" s="27" t="s">
        <v>166</v>
      </c>
      <c r="E173" s="29">
        <v>1000000.0</v>
      </c>
      <c r="F173" s="29">
        <v>250000.0</v>
      </c>
      <c r="G173" s="29">
        <v>250000.0</v>
      </c>
      <c r="H173" s="28"/>
      <c r="I173" s="28"/>
      <c r="J173" s="29">
        <f t="shared" si="10"/>
        <v>500000</v>
      </c>
      <c r="K173" s="17" t="s">
        <v>19</v>
      </c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8">
        <v>169.0</v>
      </c>
      <c r="B174" s="43">
        <v>46100.0</v>
      </c>
      <c r="C174" s="30"/>
      <c r="D174" s="21" t="s">
        <v>167</v>
      </c>
      <c r="E174" s="23">
        <v>500000.0</v>
      </c>
      <c r="F174" s="23">
        <v>200000.0</v>
      </c>
      <c r="G174" s="23">
        <v>0.0</v>
      </c>
      <c r="H174" s="22"/>
      <c r="I174" s="22"/>
      <c r="J174" s="23">
        <f t="shared" si="10"/>
        <v>300000</v>
      </c>
      <c r="K174" s="17" t="s">
        <v>19</v>
      </c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24">
        <v>170.0</v>
      </c>
      <c r="B175" s="44">
        <v>46101.0</v>
      </c>
      <c r="C175" s="31"/>
      <c r="D175" s="27" t="s">
        <v>168</v>
      </c>
      <c r="E175" s="29">
        <v>1500000.0</v>
      </c>
      <c r="F175" s="29">
        <v>500000.0</v>
      </c>
      <c r="G175" s="29">
        <v>0.0</v>
      </c>
      <c r="H175" s="28"/>
      <c r="I175" s="28"/>
      <c r="J175" s="29">
        <f t="shared" si="10"/>
        <v>1000000</v>
      </c>
      <c r="K175" s="17" t="s">
        <v>19</v>
      </c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8">
        <v>171.0</v>
      </c>
      <c r="B176" s="43">
        <v>46101.0</v>
      </c>
      <c r="C176" s="30"/>
      <c r="D176" s="21" t="s">
        <v>169</v>
      </c>
      <c r="E176" s="23">
        <v>1000000.0</v>
      </c>
      <c r="F176" s="23">
        <v>300000.0</v>
      </c>
      <c r="G176" s="23">
        <v>0.0</v>
      </c>
      <c r="H176" s="22"/>
      <c r="I176" s="22"/>
      <c r="J176" s="23">
        <f t="shared" si="10"/>
        <v>700000</v>
      </c>
      <c r="K176" s="17" t="s">
        <v>19</v>
      </c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8">
        <v>172.0</v>
      </c>
      <c r="B177" s="43">
        <v>46101.0</v>
      </c>
      <c r="C177" s="30"/>
      <c r="D177" s="21" t="s">
        <v>170</v>
      </c>
      <c r="E177" s="23">
        <v>500000.0</v>
      </c>
      <c r="F177" s="23">
        <v>250000.0</v>
      </c>
      <c r="G177" s="23">
        <v>0.0</v>
      </c>
      <c r="H177" s="22"/>
      <c r="I177" s="22"/>
      <c r="J177" s="23">
        <f t="shared" si="10"/>
        <v>250000</v>
      </c>
      <c r="K177" s="17" t="s">
        <v>19</v>
      </c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24">
        <v>173.0</v>
      </c>
      <c r="B178" s="44">
        <v>46102.0</v>
      </c>
      <c r="C178" s="31"/>
      <c r="D178" s="27" t="s">
        <v>171</v>
      </c>
      <c r="E178" s="29">
        <v>1000000.0</v>
      </c>
      <c r="F178" s="29">
        <v>500000.0</v>
      </c>
      <c r="G178" s="29">
        <v>0.0</v>
      </c>
      <c r="H178" s="28"/>
      <c r="I178" s="28"/>
      <c r="J178" s="29">
        <f t="shared" si="10"/>
        <v>500000</v>
      </c>
      <c r="K178" s="17" t="s">
        <v>19</v>
      </c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8">
        <v>174.0</v>
      </c>
      <c r="B179" s="43">
        <v>46102.0</v>
      </c>
      <c r="C179" s="30"/>
      <c r="D179" s="21" t="s">
        <v>172</v>
      </c>
      <c r="E179" s="23">
        <v>1500000.0</v>
      </c>
      <c r="F179" s="23">
        <v>700000.0</v>
      </c>
      <c r="G179" s="23">
        <v>0.0</v>
      </c>
      <c r="H179" s="22"/>
      <c r="I179" s="22"/>
      <c r="J179" s="23">
        <f t="shared" si="10"/>
        <v>800000</v>
      </c>
      <c r="K179" s="17" t="s">
        <v>19</v>
      </c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24">
        <v>175.0</v>
      </c>
      <c r="B180" s="44">
        <v>46104.0</v>
      </c>
      <c r="C180" s="31"/>
      <c r="D180" s="27" t="s">
        <v>173</v>
      </c>
      <c r="E180" s="29">
        <v>600000.0</v>
      </c>
      <c r="F180" s="29">
        <v>350000.0</v>
      </c>
      <c r="G180" s="29">
        <v>0.0</v>
      </c>
      <c r="H180" s="28"/>
      <c r="I180" s="28"/>
      <c r="J180" s="29">
        <f t="shared" si="10"/>
        <v>250000</v>
      </c>
      <c r="K180" s="17" t="s">
        <v>19</v>
      </c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8">
        <v>176.0</v>
      </c>
      <c r="B181" s="43">
        <v>46104.0</v>
      </c>
      <c r="C181" s="30"/>
      <c r="D181" s="21" t="s">
        <v>174</v>
      </c>
      <c r="E181" s="23">
        <v>1000000.0</v>
      </c>
      <c r="F181" s="23">
        <v>500000.0</v>
      </c>
      <c r="G181" s="23">
        <v>0.0</v>
      </c>
      <c r="H181" s="22"/>
      <c r="I181" s="22"/>
      <c r="J181" s="23">
        <f t="shared" si="10"/>
        <v>500000</v>
      </c>
      <c r="K181" s="17" t="s">
        <v>19</v>
      </c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24">
        <v>177.0</v>
      </c>
      <c r="B182" s="44">
        <v>46105.0</v>
      </c>
      <c r="C182" s="31"/>
      <c r="D182" s="27" t="s">
        <v>175</v>
      </c>
      <c r="E182" s="29">
        <v>1500000.0</v>
      </c>
      <c r="F182" s="29">
        <v>800000.0</v>
      </c>
      <c r="G182" s="29">
        <v>0.0</v>
      </c>
      <c r="H182" s="28"/>
      <c r="I182" s="28"/>
      <c r="J182" s="29">
        <f t="shared" si="10"/>
        <v>700000</v>
      </c>
      <c r="K182" s="17" t="s">
        <v>19</v>
      </c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8">
        <v>178.0</v>
      </c>
      <c r="B183" s="43">
        <v>46105.0</v>
      </c>
      <c r="C183" s="30"/>
      <c r="D183" s="21" t="s">
        <v>176</v>
      </c>
      <c r="E183" s="23">
        <v>1000000.0</v>
      </c>
      <c r="F183" s="23">
        <v>300000.0</v>
      </c>
      <c r="G183" s="23">
        <v>0.0</v>
      </c>
      <c r="H183" s="22"/>
      <c r="I183" s="22"/>
      <c r="J183" s="23">
        <f t="shared" si="10"/>
        <v>700000</v>
      </c>
      <c r="K183" s="17" t="s">
        <v>19</v>
      </c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24">
        <v>179.0</v>
      </c>
      <c r="B184" s="44">
        <v>46106.0</v>
      </c>
      <c r="C184" s="31"/>
      <c r="D184" s="27" t="s">
        <v>177</v>
      </c>
      <c r="E184" s="29">
        <v>1000000.0</v>
      </c>
      <c r="F184" s="29">
        <v>500000.0</v>
      </c>
      <c r="G184" s="29">
        <v>0.0</v>
      </c>
      <c r="H184" s="28"/>
      <c r="I184" s="28"/>
      <c r="J184" s="29">
        <f t="shared" si="10"/>
        <v>500000</v>
      </c>
      <c r="K184" s="17" t="s">
        <v>19</v>
      </c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24">
        <v>180.0</v>
      </c>
      <c r="B185" s="44">
        <v>46107.0</v>
      </c>
      <c r="C185" s="31"/>
      <c r="D185" s="27" t="s">
        <v>178</v>
      </c>
      <c r="E185" s="29">
        <v>1000000.0</v>
      </c>
      <c r="F185" s="29">
        <v>600000.0</v>
      </c>
      <c r="G185" s="29">
        <v>0.0</v>
      </c>
      <c r="H185" s="28"/>
      <c r="I185" s="28"/>
      <c r="J185" s="29">
        <f t="shared" si="10"/>
        <v>400000</v>
      </c>
      <c r="K185" s="17" t="s">
        <v>19</v>
      </c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8">
        <v>181.0</v>
      </c>
      <c r="B186" s="43">
        <v>46107.0</v>
      </c>
      <c r="C186" s="30"/>
      <c r="D186" s="21" t="s">
        <v>179</v>
      </c>
      <c r="E186" s="23">
        <v>500000.0</v>
      </c>
      <c r="F186" s="23">
        <v>250000.0</v>
      </c>
      <c r="G186" s="23">
        <v>0.0</v>
      </c>
      <c r="H186" s="22"/>
      <c r="I186" s="22"/>
      <c r="J186" s="23">
        <f t="shared" si="10"/>
        <v>250000</v>
      </c>
      <c r="K186" s="17" t="s">
        <v>19</v>
      </c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8">
        <v>182.0</v>
      </c>
      <c r="B187" s="43">
        <v>46107.0</v>
      </c>
      <c r="C187" s="30"/>
      <c r="D187" s="21" t="s">
        <v>180</v>
      </c>
      <c r="E187" s="23">
        <v>1000000.0</v>
      </c>
      <c r="F187" s="23">
        <v>300000.0</v>
      </c>
      <c r="G187" s="23">
        <v>0.0</v>
      </c>
      <c r="H187" s="22"/>
      <c r="I187" s="22"/>
      <c r="J187" s="23">
        <f t="shared" si="10"/>
        <v>700000</v>
      </c>
      <c r="K187" s="17" t="s">
        <v>19</v>
      </c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24">
        <v>183.0</v>
      </c>
      <c r="B188" s="44">
        <v>46108.0</v>
      </c>
      <c r="C188" s="26">
        <v>0.2916666666678793</v>
      </c>
      <c r="D188" s="27" t="s">
        <v>181</v>
      </c>
      <c r="E188" s="29">
        <v>700000.0</v>
      </c>
      <c r="F188" s="29">
        <v>300000.0</v>
      </c>
      <c r="G188" s="29">
        <v>0.0</v>
      </c>
      <c r="H188" s="28"/>
      <c r="I188" s="28"/>
      <c r="J188" s="29">
        <f t="shared" si="10"/>
        <v>400000</v>
      </c>
      <c r="K188" s="17" t="s">
        <v>19</v>
      </c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8">
        <v>184.0</v>
      </c>
      <c r="B189" s="43">
        <v>46108.0</v>
      </c>
      <c r="C189" s="20">
        <v>0.3541666666678793</v>
      </c>
      <c r="D189" s="21" t="s">
        <v>182</v>
      </c>
      <c r="E189" s="23">
        <v>1500000.0</v>
      </c>
      <c r="F189" s="23">
        <v>800000.0</v>
      </c>
      <c r="G189" s="23">
        <v>0.0</v>
      </c>
      <c r="H189" s="22"/>
      <c r="I189" s="22"/>
      <c r="J189" s="23">
        <f t="shared" si="10"/>
        <v>700000</v>
      </c>
      <c r="K189" s="17" t="s">
        <v>19</v>
      </c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8">
        <v>185.0</v>
      </c>
      <c r="B190" s="43">
        <v>46108.0</v>
      </c>
      <c r="C190" s="30"/>
      <c r="D190" s="21" t="s">
        <v>183</v>
      </c>
      <c r="E190" s="23">
        <v>2250000.0</v>
      </c>
      <c r="F190" s="23">
        <v>700000.0</v>
      </c>
      <c r="G190" s="23">
        <v>0.0</v>
      </c>
      <c r="H190" s="22"/>
      <c r="I190" s="22"/>
      <c r="J190" s="23">
        <f t="shared" si="10"/>
        <v>1550000</v>
      </c>
      <c r="K190" s="17" t="s">
        <v>19</v>
      </c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24">
        <v>186.0</v>
      </c>
      <c r="B191" s="44">
        <v>46109.0</v>
      </c>
      <c r="C191" s="31"/>
      <c r="D191" s="27" t="s">
        <v>184</v>
      </c>
      <c r="E191" s="29">
        <v>1000000.0</v>
      </c>
      <c r="F191" s="29">
        <v>600000.0</v>
      </c>
      <c r="G191" s="29">
        <v>0.0</v>
      </c>
      <c r="H191" s="28"/>
      <c r="I191" s="28"/>
      <c r="J191" s="29">
        <f t="shared" si="10"/>
        <v>400000</v>
      </c>
      <c r="K191" s="17" t="s">
        <v>19</v>
      </c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8">
        <v>187.0</v>
      </c>
      <c r="B192" s="43">
        <v>46109.0</v>
      </c>
      <c r="C192" s="30"/>
      <c r="D192" s="21" t="s">
        <v>185</v>
      </c>
      <c r="E192" s="23">
        <v>1050000.0</v>
      </c>
      <c r="F192" s="23">
        <v>550000.0</v>
      </c>
      <c r="G192" s="23">
        <v>0.0</v>
      </c>
      <c r="H192" s="22"/>
      <c r="I192" s="22"/>
      <c r="J192" s="23">
        <f t="shared" si="10"/>
        <v>500000</v>
      </c>
      <c r="K192" s="17" t="s">
        <v>19</v>
      </c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24">
        <v>188.0</v>
      </c>
      <c r="B193" s="44">
        <v>46110.0</v>
      </c>
      <c r="C193" s="26">
        <v>0.9895833333321207</v>
      </c>
      <c r="D193" s="27" t="s">
        <v>186</v>
      </c>
      <c r="E193" s="29">
        <v>4000000.0</v>
      </c>
      <c r="F193" s="29">
        <v>2000000.0</v>
      </c>
      <c r="G193" s="29">
        <v>0.0</v>
      </c>
      <c r="H193" s="28"/>
      <c r="I193" s="28"/>
      <c r="J193" s="29">
        <f t="shared" si="10"/>
        <v>2000000</v>
      </c>
      <c r="K193" s="17" t="s">
        <v>19</v>
      </c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24">
        <v>189.0</v>
      </c>
      <c r="B194" s="44">
        <v>46111.0</v>
      </c>
      <c r="C194" s="31"/>
      <c r="D194" s="27" t="s">
        <v>187</v>
      </c>
      <c r="E194" s="29">
        <v>1050000.0</v>
      </c>
      <c r="F194" s="29">
        <v>550000.0</v>
      </c>
      <c r="G194" s="29">
        <v>0.0</v>
      </c>
      <c r="H194" s="28"/>
      <c r="I194" s="28"/>
      <c r="J194" s="29">
        <f t="shared" si="10"/>
        <v>500000</v>
      </c>
      <c r="K194" s="17" t="s">
        <v>19</v>
      </c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8">
        <v>190.0</v>
      </c>
      <c r="B195" s="43">
        <v>46111.0</v>
      </c>
      <c r="C195" s="30"/>
      <c r="D195" s="21" t="s">
        <v>188</v>
      </c>
      <c r="E195" s="23">
        <v>1600000.0</v>
      </c>
      <c r="F195" s="23">
        <v>800000.0</v>
      </c>
      <c r="G195" s="23">
        <v>0.0</v>
      </c>
      <c r="H195" s="22"/>
      <c r="I195" s="22"/>
      <c r="J195" s="23">
        <f t="shared" si="10"/>
        <v>800000</v>
      </c>
      <c r="K195" s="17" t="s">
        <v>19</v>
      </c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8">
        <v>191.0</v>
      </c>
      <c r="B196" s="43">
        <v>46111.0</v>
      </c>
      <c r="C196" s="30"/>
      <c r="D196" s="21" t="s">
        <v>189</v>
      </c>
      <c r="E196" s="23">
        <v>1700000.0</v>
      </c>
      <c r="F196" s="23">
        <v>800000.0</v>
      </c>
      <c r="G196" s="23">
        <v>0.0</v>
      </c>
      <c r="H196" s="23">
        <v>7800000.0</v>
      </c>
      <c r="I196" s="22"/>
      <c r="J196" s="23">
        <f t="shared" si="10"/>
        <v>-6900000</v>
      </c>
      <c r="K196" s="17" t="s">
        <v>19</v>
      </c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5" t="s">
        <v>21</v>
      </c>
      <c r="B197" s="6"/>
      <c r="C197" s="6"/>
      <c r="D197" s="6"/>
      <c r="E197" s="6"/>
      <c r="F197" s="6"/>
      <c r="G197" s="6"/>
      <c r="H197" s="6"/>
      <c r="I197" s="6"/>
      <c r="J197" s="7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24">
        <v>192.0</v>
      </c>
      <c r="B198" s="44">
        <v>46113.0</v>
      </c>
      <c r="C198" s="31"/>
      <c r="D198" s="27" t="s">
        <v>190</v>
      </c>
      <c r="E198" s="29">
        <v>2000000.0</v>
      </c>
      <c r="F198" s="29">
        <v>800000.0</v>
      </c>
      <c r="G198" s="29">
        <v>0.0</v>
      </c>
      <c r="H198" s="28"/>
      <c r="I198" s="28"/>
      <c r="J198" s="29">
        <f t="shared" ref="J198:J307" si="11">N(E198)-N(F198)-N(G198)-N(H198)-N(I198)</f>
        <v>1200000</v>
      </c>
      <c r="K198" s="17" t="s">
        <v>21</v>
      </c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24">
        <v>193.0</v>
      </c>
      <c r="B199" s="44">
        <v>46114.0</v>
      </c>
      <c r="C199" s="26">
        <v>0.8541666666678793</v>
      </c>
      <c r="D199" s="27" t="s">
        <v>191</v>
      </c>
      <c r="E199" s="29">
        <v>1500000.0</v>
      </c>
      <c r="F199" s="29">
        <v>400000.0</v>
      </c>
      <c r="G199" s="29">
        <v>0.0</v>
      </c>
      <c r="H199" s="28"/>
      <c r="I199" s="28"/>
      <c r="J199" s="29">
        <f t="shared" si="11"/>
        <v>1100000</v>
      </c>
      <c r="K199" s="17" t="s">
        <v>21</v>
      </c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24">
        <v>194.0</v>
      </c>
      <c r="B200" s="44">
        <v>46115.0</v>
      </c>
      <c r="C200" s="26">
        <v>0.2916666666678793</v>
      </c>
      <c r="D200" s="27" t="s">
        <v>192</v>
      </c>
      <c r="E200" s="29">
        <v>1500000.0</v>
      </c>
      <c r="F200" s="29">
        <v>500000.0</v>
      </c>
      <c r="G200" s="29">
        <v>0.0</v>
      </c>
      <c r="H200" s="28"/>
      <c r="I200" s="28"/>
      <c r="J200" s="29">
        <f t="shared" si="11"/>
        <v>1000000</v>
      </c>
      <c r="K200" s="17" t="s">
        <v>21</v>
      </c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8">
        <v>195.0</v>
      </c>
      <c r="B201" s="43">
        <v>46115.0</v>
      </c>
      <c r="C201" s="30"/>
      <c r="D201" s="21" t="s">
        <v>193</v>
      </c>
      <c r="E201" s="23">
        <v>1000000.0</v>
      </c>
      <c r="F201" s="23">
        <v>300000.0</v>
      </c>
      <c r="G201" s="23">
        <v>0.0</v>
      </c>
      <c r="H201" s="22"/>
      <c r="I201" s="22"/>
      <c r="J201" s="23">
        <f t="shared" si="11"/>
        <v>700000</v>
      </c>
      <c r="K201" s="17" t="s">
        <v>21</v>
      </c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8">
        <v>196.0</v>
      </c>
      <c r="B202" s="43">
        <v>46115.0</v>
      </c>
      <c r="C202" s="30"/>
      <c r="D202" s="21" t="s">
        <v>194</v>
      </c>
      <c r="E202" s="23">
        <v>1000000.0</v>
      </c>
      <c r="F202" s="23">
        <v>500000.0</v>
      </c>
      <c r="G202" s="23">
        <v>0.0</v>
      </c>
      <c r="H202" s="22"/>
      <c r="I202" s="22"/>
      <c r="J202" s="23">
        <f t="shared" si="11"/>
        <v>500000</v>
      </c>
      <c r="K202" s="17" t="s">
        <v>21</v>
      </c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24">
        <v>197.0</v>
      </c>
      <c r="B203" s="44">
        <v>46116.0</v>
      </c>
      <c r="C203" s="26">
        <v>0.5833333333321207</v>
      </c>
      <c r="D203" s="27" t="s">
        <v>195</v>
      </c>
      <c r="E203" s="29">
        <v>500000.0</v>
      </c>
      <c r="F203" s="29">
        <v>250000.0</v>
      </c>
      <c r="G203" s="29">
        <v>0.0</v>
      </c>
      <c r="H203" s="28"/>
      <c r="I203" s="28"/>
      <c r="J203" s="29">
        <f t="shared" si="11"/>
        <v>250000</v>
      </c>
      <c r="K203" s="17" t="s">
        <v>21</v>
      </c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8">
        <v>198.0</v>
      </c>
      <c r="B204" s="43">
        <v>46116.0</v>
      </c>
      <c r="C204" s="20">
        <v>0.8333333333321207</v>
      </c>
      <c r="D204" s="21" t="s">
        <v>196</v>
      </c>
      <c r="E204" s="23">
        <v>500000.0</v>
      </c>
      <c r="F204" s="23">
        <v>250000.0</v>
      </c>
      <c r="G204" s="23">
        <v>0.0</v>
      </c>
      <c r="H204" s="22"/>
      <c r="I204" s="22"/>
      <c r="J204" s="23">
        <f t="shared" si="11"/>
        <v>250000</v>
      </c>
      <c r="K204" s="17" t="s">
        <v>21</v>
      </c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24">
        <v>199.0</v>
      </c>
      <c r="B205" s="44">
        <v>46117.0</v>
      </c>
      <c r="C205" s="31"/>
      <c r="D205" s="27" t="s">
        <v>197</v>
      </c>
      <c r="E205" s="29">
        <v>2500000.0</v>
      </c>
      <c r="F205" s="29">
        <v>1000000.0</v>
      </c>
      <c r="G205" s="29">
        <v>0.0</v>
      </c>
      <c r="H205" s="28"/>
      <c r="I205" s="28"/>
      <c r="J205" s="29">
        <f t="shared" si="11"/>
        <v>1500000</v>
      </c>
      <c r="K205" s="17" t="s">
        <v>21</v>
      </c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8">
        <v>200.0</v>
      </c>
      <c r="B206" s="43">
        <v>46117.0</v>
      </c>
      <c r="C206" s="30"/>
      <c r="D206" s="21" t="s">
        <v>198</v>
      </c>
      <c r="E206" s="23">
        <v>600000.0</v>
      </c>
      <c r="F206" s="23">
        <v>300000.0</v>
      </c>
      <c r="G206" s="23">
        <v>0.0</v>
      </c>
      <c r="H206" s="22"/>
      <c r="I206" s="22"/>
      <c r="J206" s="23">
        <f t="shared" si="11"/>
        <v>300000</v>
      </c>
      <c r="K206" s="17" t="s">
        <v>21</v>
      </c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8">
        <v>201.0</v>
      </c>
      <c r="B207" s="43">
        <v>46117.0</v>
      </c>
      <c r="C207" s="30"/>
      <c r="D207" s="21" t="s">
        <v>199</v>
      </c>
      <c r="E207" s="23">
        <v>2000000.0</v>
      </c>
      <c r="F207" s="23">
        <v>600000.0</v>
      </c>
      <c r="G207" s="23">
        <v>0.0</v>
      </c>
      <c r="H207" s="22"/>
      <c r="I207" s="22"/>
      <c r="J207" s="23">
        <f t="shared" si="11"/>
        <v>1400000</v>
      </c>
      <c r="K207" s="17" t="s">
        <v>21</v>
      </c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24">
        <v>202.0</v>
      </c>
      <c r="B208" s="44">
        <v>46118.0</v>
      </c>
      <c r="C208" s="31"/>
      <c r="D208" s="27" t="s">
        <v>200</v>
      </c>
      <c r="E208" s="29">
        <v>2000000.0</v>
      </c>
      <c r="F208" s="29">
        <v>800000.0</v>
      </c>
      <c r="G208" s="29">
        <v>120000.0</v>
      </c>
      <c r="H208" s="28"/>
      <c r="I208" s="28"/>
      <c r="J208" s="29">
        <f t="shared" si="11"/>
        <v>1080000</v>
      </c>
      <c r="K208" s="17" t="s">
        <v>21</v>
      </c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8">
        <v>203.0</v>
      </c>
      <c r="B209" s="43">
        <v>46118.0</v>
      </c>
      <c r="C209" s="30"/>
      <c r="D209" s="21" t="s">
        <v>201</v>
      </c>
      <c r="E209" s="23">
        <v>500000.0</v>
      </c>
      <c r="F209" s="23">
        <v>250000.0</v>
      </c>
      <c r="G209" s="23">
        <v>0.0</v>
      </c>
      <c r="H209" s="22"/>
      <c r="I209" s="22"/>
      <c r="J209" s="23">
        <f t="shared" si="11"/>
        <v>250000</v>
      </c>
      <c r="K209" s="17" t="s">
        <v>21</v>
      </c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24">
        <v>204.0</v>
      </c>
      <c r="B210" s="44">
        <v>46119.0</v>
      </c>
      <c r="C210" s="26">
        <v>0.3125</v>
      </c>
      <c r="D210" s="27" t="s">
        <v>202</v>
      </c>
      <c r="E210" s="29">
        <v>2000000.0</v>
      </c>
      <c r="F210" s="29">
        <v>380000.0</v>
      </c>
      <c r="G210" s="29">
        <v>150000.0</v>
      </c>
      <c r="H210" s="28"/>
      <c r="I210" s="28"/>
      <c r="J210" s="29">
        <f t="shared" si="11"/>
        <v>1470000</v>
      </c>
      <c r="K210" s="17" t="s">
        <v>21</v>
      </c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8">
        <v>205.0</v>
      </c>
      <c r="B211" s="43">
        <v>46119.0</v>
      </c>
      <c r="C211" s="30"/>
      <c r="D211" s="21" t="s">
        <v>203</v>
      </c>
      <c r="E211" s="23">
        <v>2300000.0</v>
      </c>
      <c r="F211" s="23">
        <v>650000.0</v>
      </c>
      <c r="G211" s="23">
        <v>600000.0</v>
      </c>
      <c r="H211" s="22"/>
      <c r="I211" s="22"/>
      <c r="J211" s="23">
        <f t="shared" si="11"/>
        <v>1050000</v>
      </c>
      <c r="K211" s="17" t="s">
        <v>21</v>
      </c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24">
        <v>206.0</v>
      </c>
      <c r="B212" s="44">
        <v>46120.0</v>
      </c>
      <c r="C212" s="31"/>
      <c r="D212" s="27" t="s">
        <v>204</v>
      </c>
      <c r="E212" s="29">
        <v>600000.0</v>
      </c>
      <c r="F212" s="29">
        <v>200000.0</v>
      </c>
      <c r="G212" s="29">
        <v>0.0</v>
      </c>
      <c r="H212" s="28"/>
      <c r="I212" s="28"/>
      <c r="J212" s="29">
        <f t="shared" si="11"/>
        <v>400000</v>
      </c>
      <c r="K212" s="17" t="s">
        <v>21</v>
      </c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8">
        <v>207.0</v>
      </c>
      <c r="B213" s="43">
        <v>46120.0</v>
      </c>
      <c r="C213" s="30"/>
      <c r="D213" s="21" t="s">
        <v>205</v>
      </c>
      <c r="E213" s="23">
        <v>2250000.0</v>
      </c>
      <c r="F213" s="23">
        <v>600000.0</v>
      </c>
      <c r="G213" s="23">
        <v>120000.0</v>
      </c>
      <c r="H213" s="22"/>
      <c r="I213" s="22"/>
      <c r="J213" s="23">
        <f t="shared" si="11"/>
        <v>1530000</v>
      </c>
      <c r="K213" s="17" t="s">
        <v>21</v>
      </c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8">
        <v>208.0</v>
      </c>
      <c r="B214" s="43">
        <v>46120.0</v>
      </c>
      <c r="C214" s="30"/>
      <c r="D214" s="21" t="s">
        <v>206</v>
      </c>
      <c r="E214" s="23">
        <v>2250000.0</v>
      </c>
      <c r="F214" s="23">
        <v>600000.0</v>
      </c>
      <c r="G214" s="23">
        <v>130000.0</v>
      </c>
      <c r="H214" s="22"/>
      <c r="I214" s="22"/>
      <c r="J214" s="23">
        <f t="shared" si="11"/>
        <v>1520000</v>
      </c>
      <c r="K214" s="17" t="s">
        <v>21</v>
      </c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8">
        <v>209.0</v>
      </c>
      <c r="B215" s="43">
        <v>46120.0</v>
      </c>
      <c r="C215" s="30"/>
      <c r="D215" s="21" t="s">
        <v>207</v>
      </c>
      <c r="E215" s="23">
        <v>1500000.0</v>
      </c>
      <c r="F215" s="23">
        <v>300000.0</v>
      </c>
      <c r="G215" s="23">
        <v>550000.0</v>
      </c>
      <c r="H215" s="22"/>
      <c r="I215" s="22"/>
      <c r="J215" s="23">
        <f t="shared" si="11"/>
        <v>650000</v>
      </c>
      <c r="K215" s="17" t="s">
        <v>21</v>
      </c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24">
        <v>210.0</v>
      </c>
      <c r="B216" s="44">
        <v>46121.0</v>
      </c>
      <c r="C216" s="31"/>
      <c r="D216" s="27" t="s">
        <v>208</v>
      </c>
      <c r="E216" s="29">
        <v>900000.0</v>
      </c>
      <c r="F216" s="29">
        <v>100000.0</v>
      </c>
      <c r="G216" s="29">
        <v>0.0</v>
      </c>
      <c r="H216" s="28"/>
      <c r="I216" s="28"/>
      <c r="J216" s="29">
        <f t="shared" si="11"/>
        <v>800000</v>
      </c>
      <c r="K216" s="17" t="s">
        <v>21</v>
      </c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24">
        <v>211.0</v>
      </c>
      <c r="B217" s="44">
        <v>46122.0</v>
      </c>
      <c r="C217" s="26">
        <v>0.5</v>
      </c>
      <c r="D217" s="27" t="s">
        <v>209</v>
      </c>
      <c r="E217" s="29">
        <v>1500000.0</v>
      </c>
      <c r="F217" s="29">
        <v>500000.0</v>
      </c>
      <c r="G217" s="29">
        <v>0.0</v>
      </c>
      <c r="H217" s="28"/>
      <c r="I217" s="28"/>
      <c r="J217" s="29">
        <f t="shared" si="11"/>
        <v>1000000</v>
      </c>
      <c r="K217" s="17" t="s">
        <v>21</v>
      </c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8">
        <v>212.0</v>
      </c>
      <c r="B218" s="43">
        <v>46122.0</v>
      </c>
      <c r="C218" s="30"/>
      <c r="D218" s="21" t="s">
        <v>210</v>
      </c>
      <c r="E218" s="23">
        <v>2000000.0</v>
      </c>
      <c r="F218" s="23">
        <v>1000000.0</v>
      </c>
      <c r="G218" s="23">
        <v>0.0</v>
      </c>
      <c r="H218" s="22"/>
      <c r="I218" s="22"/>
      <c r="J218" s="23">
        <f t="shared" si="11"/>
        <v>1000000</v>
      </c>
      <c r="K218" s="17" t="s">
        <v>21</v>
      </c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8">
        <v>213.0</v>
      </c>
      <c r="B219" s="43">
        <v>46122.0</v>
      </c>
      <c r="C219" s="30"/>
      <c r="D219" s="21" t="s">
        <v>211</v>
      </c>
      <c r="E219" s="23">
        <v>500000.0</v>
      </c>
      <c r="F219" s="23">
        <v>250000.0</v>
      </c>
      <c r="G219" s="23">
        <v>0.0</v>
      </c>
      <c r="H219" s="22"/>
      <c r="I219" s="22"/>
      <c r="J219" s="23">
        <f t="shared" si="11"/>
        <v>250000</v>
      </c>
      <c r="K219" s="17" t="s">
        <v>21</v>
      </c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24">
        <v>214.0</v>
      </c>
      <c r="B220" s="44">
        <v>46123.0</v>
      </c>
      <c r="C220" s="26">
        <v>0.25</v>
      </c>
      <c r="D220" s="27" t="s">
        <v>212</v>
      </c>
      <c r="E220" s="29">
        <v>1000000.0</v>
      </c>
      <c r="F220" s="29">
        <v>300000.0</v>
      </c>
      <c r="G220" s="29">
        <v>0.0</v>
      </c>
      <c r="H220" s="28"/>
      <c r="I220" s="28"/>
      <c r="J220" s="29">
        <f t="shared" si="11"/>
        <v>700000</v>
      </c>
      <c r="K220" s="17" t="s">
        <v>21</v>
      </c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8">
        <v>215.0</v>
      </c>
      <c r="B221" s="43">
        <v>46123.0</v>
      </c>
      <c r="C221" s="30"/>
      <c r="D221" s="21" t="s">
        <v>213</v>
      </c>
      <c r="E221" s="23">
        <v>750000.0</v>
      </c>
      <c r="F221" s="23">
        <v>120000.0</v>
      </c>
      <c r="G221" s="23">
        <v>0.0</v>
      </c>
      <c r="H221" s="22"/>
      <c r="I221" s="22"/>
      <c r="J221" s="23">
        <f t="shared" si="11"/>
        <v>630000</v>
      </c>
      <c r="K221" s="17" t="s">
        <v>21</v>
      </c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8">
        <v>216.0</v>
      </c>
      <c r="B222" s="43">
        <v>46123.0</v>
      </c>
      <c r="C222" s="30"/>
      <c r="D222" s="21" t="s">
        <v>214</v>
      </c>
      <c r="E222" s="23">
        <v>1600000.0</v>
      </c>
      <c r="F222" s="23">
        <v>536000.0</v>
      </c>
      <c r="G222" s="23">
        <v>0.0</v>
      </c>
      <c r="H222" s="22"/>
      <c r="I222" s="22"/>
      <c r="J222" s="23">
        <f t="shared" si="11"/>
        <v>1064000</v>
      </c>
      <c r="K222" s="17" t="s">
        <v>21</v>
      </c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8">
        <v>217.0</v>
      </c>
      <c r="B223" s="43">
        <v>46123.0</v>
      </c>
      <c r="C223" s="30"/>
      <c r="D223" s="21" t="s">
        <v>215</v>
      </c>
      <c r="E223" s="23">
        <v>1000000.0</v>
      </c>
      <c r="F223" s="23">
        <v>300000.0</v>
      </c>
      <c r="G223" s="23">
        <v>0.0</v>
      </c>
      <c r="H223" s="22"/>
      <c r="I223" s="22"/>
      <c r="J223" s="23">
        <f t="shared" si="11"/>
        <v>700000</v>
      </c>
      <c r="K223" s="17" t="s">
        <v>21</v>
      </c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24">
        <v>218.0</v>
      </c>
      <c r="B224" s="44">
        <v>46124.0</v>
      </c>
      <c r="C224" s="26">
        <v>0.2916666666678793</v>
      </c>
      <c r="D224" s="27" t="s">
        <v>216</v>
      </c>
      <c r="E224" s="29">
        <v>1250000.0</v>
      </c>
      <c r="F224" s="29">
        <v>500000.0</v>
      </c>
      <c r="G224" s="29">
        <v>0.0</v>
      </c>
      <c r="H224" s="28"/>
      <c r="I224" s="28"/>
      <c r="J224" s="29">
        <f t="shared" si="11"/>
        <v>750000</v>
      </c>
      <c r="K224" s="17" t="s">
        <v>21</v>
      </c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8">
        <v>219.0</v>
      </c>
      <c r="B225" s="43">
        <v>46124.0</v>
      </c>
      <c r="C225" s="30"/>
      <c r="D225" s="21" t="s">
        <v>217</v>
      </c>
      <c r="E225" s="23">
        <v>500000.0</v>
      </c>
      <c r="F225" s="23">
        <v>250000.0</v>
      </c>
      <c r="G225" s="23">
        <v>0.0</v>
      </c>
      <c r="H225" s="22"/>
      <c r="I225" s="22"/>
      <c r="J225" s="23">
        <f t="shared" si="11"/>
        <v>250000</v>
      </c>
      <c r="K225" s="17" t="s">
        <v>21</v>
      </c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8">
        <v>220.0</v>
      </c>
      <c r="B226" s="43">
        <v>46124.0</v>
      </c>
      <c r="C226" s="30"/>
      <c r="D226" s="21" t="s">
        <v>218</v>
      </c>
      <c r="E226" s="23">
        <v>500000.0</v>
      </c>
      <c r="F226" s="23">
        <v>250000.0</v>
      </c>
      <c r="G226" s="23">
        <v>0.0</v>
      </c>
      <c r="H226" s="22"/>
      <c r="I226" s="22"/>
      <c r="J226" s="23">
        <f t="shared" si="11"/>
        <v>250000</v>
      </c>
      <c r="K226" s="17" t="s">
        <v>21</v>
      </c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8">
        <v>221.0</v>
      </c>
      <c r="B227" s="43">
        <v>46124.0</v>
      </c>
      <c r="C227" s="30"/>
      <c r="D227" s="21" t="s">
        <v>219</v>
      </c>
      <c r="E227" s="23">
        <v>2000000.0</v>
      </c>
      <c r="F227" s="23">
        <v>800000.0</v>
      </c>
      <c r="G227" s="23">
        <v>220000.0</v>
      </c>
      <c r="H227" s="22"/>
      <c r="I227" s="22"/>
      <c r="J227" s="23">
        <f t="shared" si="11"/>
        <v>980000</v>
      </c>
      <c r="K227" s="17" t="s">
        <v>21</v>
      </c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8">
        <v>222.0</v>
      </c>
      <c r="B228" s="43">
        <v>46124.0</v>
      </c>
      <c r="C228" s="30"/>
      <c r="D228" s="21" t="s">
        <v>220</v>
      </c>
      <c r="E228" s="23">
        <v>1000000.0</v>
      </c>
      <c r="F228" s="23">
        <v>300000.0</v>
      </c>
      <c r="G228" s="23">
        <v>0.0</v>
      </c>
      <c r="H228" s="22"/>
      <c r="I228" s="22"/>
      <c r="J228" s="23">
        <f t="shared" si="11"/>
        <v>700000</v>
      </c>
      <c r="K228" s="17" t="s">
        <v>21</v>
      </c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24">
        <v>223.0</v>
      </c>
      <c r="B229" s="44">
        <v>46125.0</v>
      </c>
      <c r="C229" s="26">
        <v>0.2916666666678793</v>
      </c>
      <c r="D229" s="27" t="s">
        <v>221</v>
      </c>
      <c r="E229" s="29">
        <v>1000000.0</v>
      </c>
      <c r="F229" s="29">
        <v>300000.0</v>
      </c>
      <c r="G229" s="29">
        <v>0.0</v>
      </c>
      <c r="H229" s="28"/>
      <c r="I229" s="28"/>
      <c r="J229" s="29">
        <f t="shared" si="11"/>
        <v>700000</v>
      </c>
      <c r="K229" s="17" t="s">
        <v>21</v>
      </c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8">
        <v>224.0</v>
      </c>
      <c r="B230" s="43">
        <v>46125.0</v>
      </c>
      <c r="C230" s="30"/>
      <c r="D230" s="21" t="s">
        <v>222</v>
      </c>
      <c r="E230" s="23">
        <v>600000.0</v>
      </c>
      <c r="F230" s="23">
        <v>292000.0</v>
      </c>
      <c r="G230" s="23">
        <v>0.0</v>
      </c>
      <c r="H230" s="22"/>
      <c r="I230" s="22"/>
      <c r="J230" s="23">
        <f t="shared" si="11"/>
        <v>308000</v>
      </c>
      <c r="K230" s="17" t="s">
        <v>21</v>
      </c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24">
        <v>225.0</v>
      </c>
      <c r="B231" s="44">
        <v>46127.0</v>
      </c>
      <c r="C231" s="31"/>
      <c r="D231" s="27" t="s">
        <v>223</v>
      </c>
      <c r="E231" s="29">
        <v>1600000.0</v>
      </c>
      <c r="F231" s="29">
        <v>300000.0</v>
      </c>
      <c r="G231" s="29">
        <v>650000.0</v>
      </c>
      <c r="H231" s="28"/>
      <c r="I231" s="28"/>
      <c r="J231" s="29">
        <f t="shared" si="11"/>
        <v>650000</v>
      </c>
      <c r="K231" s="17" t="s">
        <v>21</v>
      </c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8">
        <v>226.0</v>
      </c>
      <c r="B232" s="43">
        <v>46127.0</v>
      </c>
      <c r="C232" s="30"/>
      <c r="D232" s="21" t="s">
        <v>224</v>
      </c>
      <c r="E232" s="23">
        <v>1000000.0</v>
      </c>
      <c r="F232" s="23">
        <v>450000.0</v>
      </c>
      <c r="G232" s="23">
        <v>0.0</v>
      </c>
      <c r="H232" s="22"/>
      <c r="I232" s="22"/>
      <c r="J232" s="23">
        <f t="shared" si="11"/>
        <v>550000</v>
      </c>
      <c r="K232" s="17" t="s">
        <v>21</v>
      </c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24">
        <v>227.0</v>
      </c>
      <c r="B233" s="44">
        <v>46128.0</v>
      </c>
      <c r="C233" s="26">
        <v>0.2708333333321207</v>
      </c>
      <c r="D233" s="27" t="s">
        <v>225</v>
      </c>
      <c r="E233" s="29">
        <v>1250000.0</v>
      </c>
      <c r="F233" s="29">
        <v>600000.0</v>
      </c>
      <c r="G233" s="29">
        <v>0.0</v>
      </c>
      <c r="H233" s="28"/>
      <c r="I233" s="28"/>
      <c r="J233" s="29">
        <f t="shared" si="11"/>
        <v>650000</v>
      </c>
      <c r="K233" s="17" t="s">
        <v>21</v>
      </c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8">
        <v>228.0</v>
      </c>
      <c r="B234" s="43">
        <v>46128.0</v>
      </c>
      <c r="C234" s="20">
        <v>0.3125</v>
      </c>
      <c r="D234" s="21" t="s">
        <v>226</v>
      </c>
      <c r="E234" s="23">
        <v>1400000.0</v>
      </c>
      <c r="F234" s="23">
        <v>958000.0</v>
      </c>
      <c r="G234" s="23">
        <v>0.0</v>
      </c>
      <c r="H234" s="22"/>
      <c r="I234" s="22"/>
      <c r="J234" s="23">
        <f t="shared" si="11"/>
        <v>442000</v>
      </c>
      <c r="K234" s="17" t="s">
        <v>21</v>
      </c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8">
        <v>229.0</v>
      </c>
      <c r="B235" s="43">
        <v>46128.0</v>
      </c>
      <c r="C235" s="20">
        <v>0.4166666666678793</v>
      </c>
      <c r="D235" s="21" t="s">
        <v>227</v>
      </c>
      <c r="E235" s="23">
        <v>500000.0</v>
      </c>
      <c r="F235" s="23">
        <v>250000.0</v>
      </c>
      <c r="G235" s="23">
        <v>0.0</v>
      </c>
      <c r="H235" s="22"/>
      <c r="I235" s="22"/>
      <c r="J235" s="23">
        <f t="shared" si="11"/>
        <v>250000</v>
      </c>
      <c r="K235" s="17" t="s">
        <v>21</v>
      </c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8">
        <v>230.0</v>
      </c>
      <c r="B236" s="43">
        <v>46128.0</v>
      </c>
      <c r="C236" s="20">
        <v>0.4270833333321207</v>
      </c>
      <c r="D236" s="21" t="s">
        <v>228</v>
      </c>
      <c r="E236" s="23">
        <v>500000.0</v>
      </c>
      <c r="F236" s="23">
        <v>150000.0</v>
      </c>
      <c r="G236" s="23">
        <v>0.0</v>
      </c>
      <c r="H236" s="22"/>
      <c r="I236" s="22"/>
      <c r="J236" s="23">
        <f t="shared" si="11"/>
        <v>350000</v>
      </c>
      <c r="K236" s="17" t="s">
        <v>21</v>
      </c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8">
        <v>231.0</v>
      </c>
      <c r="B237" s="43">
        <v>46128.0</v>
      </c>
      <c r="C237" s="20">
        <v>0.7291666666678793</v>
      </c>
      <c r="D237" s="21" t="s">
        <v>229</v>
      </c>
      <c r="E237" s="23">
        <v>500000.0</v>
      </c>
      <c r="F237" s="23">
        <v>150000.0</v>
      </c>
      <c r="G237" s="23">
        <v>0.0</v>
      </c>
      <c r="H237" s="22"/>
      <c r="I237" s="22"/>
      <c r="J237" s="23">
        <f t="shared" si="11"/>
        <v>350000</v>
      </c>
      <c r="K237" s="17" t="s">
        <v>21</v>
      </c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8">
        <v>232.0</v>
      </c>
      <c r="B238" s="43">
        <v>46128.0</v>
      </c>
      <c r="C238" s="20">
        <v>0.75</v>
      </c>
      <c r="D238" s="21" t="s">
        <v>230</v>
      </c>
      <c r="E238" s="23">
        <v>1250000.0</v>
      </c>
      <c r="F238" s="23">
        <v>300000.0</v>
      </c>
      <c r="G238" s="23">
        <v>0.0</v>
      </c>
      <c r="H238" s="22"/>
      <c r="I238" s="22"/>
      <c r="J238" s="23">
        <f t="shared" si="11"/>
        <v>950000</v>
      </c>
      <c r="K238" s="17" t="s">
        <v>21</v>
      </c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24">
        <v>233.0</v>
      </c>
      <c r="B239" s="44">
        <v>46129.0</v>
      </c>
      <c r="C239" s="26">
        <v>0.25</v>
      </c>
      <c r="D239" s="27" t="s">
        <v>231</v>
      </c>
      <c r="E239" s="29">
        <v>2500000.0</v>
      </c>
      <c r="F239" s="29">
        <v>700000.0</v>
      </c>
      <c r="G239" s="29">
        <v>700000.0</v>
      </c>
      <c r="H239" s="28"/>
      <c r="I239" s="28"/>
      <c r="J239" s="29">
        <f t="shared" si="11"/>
        <v>1100000</v>
      </c>
      <c r="K239" s="17" t="s">
        <v>21</v>
      </c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8">
        <v>234.0</v>
      </c>
      <c r="B240" s="43">
        <v>46129.0</v>
      </c>
      <c r="C240" s="20">
        <v>0.3333333333321207</v>
      </c>
      <c r="D240" s="21" t="s">
        <v>232</v>
      </c>
      <c r="E240" s="23">
        <v>500000.0</v>
      </c>
      <c r="F240" s="23">
        <v>250000.0</v>
      </c>
      <c r="G240" s="23">
        <v>0.0</v>
      </c>
      <c r="H240" s="22"/>
      <c r="I240" s="22"/>
      <c r="J240" s="23">
        <f t="shared" si="11"/>
        <v>250000</v>
      </c>
      <c r="K240" s="17" t="s">
        <v>21</v>
      </c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8">
        <v>235.0</v>
      </c>
      <c r="B241" s="43">
        <v>46129.0</v>
      </c>
      <c r="C241" s="20">
        <v>0.3333333333321207</v>
      </c>
      <c r="D241" s="21" t="s">
        <v>233</v>
      </c>
      <c r="E241" s="23">
        <v>500000.0</v>
      </c>
      <c r="F241" s="23">
        <v>200000.0</v>
      </c>
      <c r="G241" s="23">
        <v>0.0</v>
      </c>
      <c r="H241" s="22"/>
      <c r="I241" s="22"/>
      <c r="J241" s="23">
        <f t="shared" si="11"/>
        <v>300000</v>
      </c>
      <c r="K241" s="17" t="s">
        <v>21</v>
      </c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8">
        <v>236.0</v>
      </c>
      <c r="B242" s="43">
        <v>46129.0</v>
      </c>
      <c r="C242" s="20">
        <v>0.375</v>
      </c>
      <c r="D242" s="21" t="s">
        <v>234</v>
      </c>
      <c r="E242" s="23">
        <v>500000.0</v>
      </c>
      <c r="F242" s="23">
        <v>200000.0</v>
      </c>
      <c r="G242" s="23">
        <v>0.0</v>
      </c>
      <c r="H242" s="22"/>
      <c r="I242" s="22"/>
      <c r="J242" s="23">
        <f t="shared" si="11"/>
        <v>300000</v>
      </c>
      <c r="K242" s="17" t="s">
        <v>21</v>
      </c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8">
        <v>237.0</v>
      </c>
      <c r="B243" s="43">
        <v>46129.0</v>
      </c>
      <c r="C243" s="30"/>
      <c r="D243" s="21" t="s">
        <v>235</v>
      </c>
      <c r="E243" s="23">
        <v>1000000.0</v>
      </c>
      <c r="F243" s="23">
        <v>300000.0</v>
      </c>
      <c r="G243" s="23">
        <v>0.0</v>
      </c>
      <c r="H243" s="22"/>
      <c r="I243" s="22"/>
      <c r="J243" s="23">
        <f t="shared" si="11"/>
        <v>700000</v>
      </c>
      <c r="K243" s="17" t="s">
        <v>21</v>
      </c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8">
        <v>238.0</v>
      </c>
      <c r="B244" s="43">
        <v>46129.0</v>
      </c>
      <c r="C244" s="30"/>
      <c r="D244" s="21" t="s">
        <v>236</v>
      </c>
      <c r="E244" s="23">
        <v>1000000.0</v>
      </c>
      <c r="F244" s="23">
        <v>300000.0</v>
      </c>
      <c r="G244" s="23">
        <v>0.0</v>
      </c>
      <c r="H244" s="22"/>
      <c r="I244" s="22"/>
      <c r="J244" s="23">
        <f t="shared" si="11"/>
        <v>700000</v>
      </c>
      <c r="K244" s="17" t="s">
        <v>21</v>
      </c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8">
        <v>239.0</v>
      </c>
      <c r="B245" s="43">
        <v>46129.0</v>
      </c>
      <c r="C245" s="30"/>
      <c r="D245" s="21" t="s">
        <v>237</v>
      </c>
      <c r="E245" s="23">
        <v>1500000.0</v>
      </c>
      <c r="F245" s="23">
        <v>600000.0</v>
      </c>
      <c r="G245" s="23">
        <v>0.0</v>
      </c>
      <c r="H245" s="22"/>
      <c r="I245" s="22"/>
      <c r="J245" s="23">
        <f t="shared" si="11"/>
        <v>900000</v>
      </c>
      <c r="K245" s="17" t="s">
        <v>21</v>
      </c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24">
        <v>240.0</v>
      </c>
      <c r="B246" s="44">
        <v>46130.0</v>
      </c>
      <c r="C246" s="26">
        <v>0.3333333333321207</v>
      </c>
      <c r="D246" s="27" t="s">
        <v>238</v>
      </c>
      <c r="E246" s="29">
        <v>1000000.0</v>
      </c>
      <c r="F246" s="29">
        <v>300000.0</v>
      </c>
      <c r="G246" s="29">
        <v>0.0</v>
      </c>
      <c r="H246" s="28"/>
      <c r="I246" s="28"/>
      <c r="J246" s="29">
        <f t="shared" si="11"/>
        <v>700000</v>
      </c>
      <c r="K246" s="17" t="s">
        <v>21</v>
      </c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8">
        <v>241.0</v>
      </c>
      <c r="B247" s="43">
        <v>46130.0</v>
      </c>
      <c r="C247" s="20">
        <v>0.8541666666678793</v>
      </c>
      <c r="D247" s="21" t="s">
        <v>239</v>
      </c>
      <c r="E247" s="23">
        <v>1000000.0</v>
      </c>
      <c r="F247" s="23">
        <v>390000.0</v>
      </c>
      <c r="G247" s="23">
        <v>0.0</v>
      </c>
      <c r="H247" s="22"/>
      <c r="I247" s="22"/>
      <c r="J247" s="23">
        <f t="shared" si="11"/>
        <v>610000</v>
      </c>
      <c r="K247" s="17" t="s">
        <v>21</v>
      </c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24">
        <v>242.0</v>
      </c>
      <c r="B248" s="44">
        <v>46131.0</v>
      </c>
      <c r="C248" s="26">
        <v>0.2916666666678793</v>
      </c>
      <c r="D248" s="27" t="s">
        <v>240</v>
      </c>
      <c r="E248" s="29">
        <v>500000.0</v>
      </c>
      <c r="F248" s="29">
        <v>250000.0</v>
      </c>
      <c r="G248" s="29">
        <v>0.0</v>
      </c>
      <c r="H248" s="28"/>
      <c r="I248" s="28"/>
      <c r="J248" s="29">
        <f t="shared" si="11"/>
        <v>250000</v>
      </c>
      <c r="K248" s="17" t="s">
        <v>21</v>
      </c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8">
        <v>243.0</v>
      </c>
      <c r="B249" s="43">
        <v>46131.0</v>
      </c>
      <c r="C249" s="20">
        <v>0.4166666666678793</v>
      </c>
      <c r="D249" s="21" t="s">
        <v>241</v>
      </c>
      <c r="E249" s="23">
        <v>500000.0</v>
      </c>
      <c r="F249" s="23">
        <v>250000.0</v>
      </c>
      <c r="G249" s="23">
        <v>0.0</v>
      </c>
      <c r="H249" s="22"/>
      <c r="I249" s="22"/>
      <c r="J249" s="23">
        <f t="shared" si="11"/>
        <v>250000</v>
      </c>
      <c r="K249" s="17" t="s">
        <v>21</v>
      </c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8">
        <v>244.0</v>
      </c>
      <c r="B250" s="43">
        <v>46131.0</v>
      </c>
      <c r="C250" s="30"/>
      <c r="D250" s="21" t="s">
        <v>242</v>
      </c>
      <c r="E250" s="23">
        <v>1000000.0</v>
      </c>
      <c r="F250" s="23">
        <v>300000.0</v>
      </c>
      <c r="G250" s="23">
        <v>0.0</v>
      </c>
      <c r="H250" s="22"/>
      <c r="I250" s="22"/>
      <c r="J250" s="23">
        <f t="shared" si="11"/>
        <v>700000</v>
      </c>
      <c r="K250" s="17" t="s">
        <v>21</v>
      </c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24">
        <v>245.0</v>
      </c>
      <c r="B251" s="44">
        <v>46132.0</v>
      </c>
      <c r="C251" s="26">
        <v>0.32638888889050577</v>
      </c>
      <c r="D251" s="27" t="s">
        <v>243</v>
      </c>
      <c r="E251" s="29">
        <v>1000000.0</v>
      </c>
      <c r="F251" s="29">
        <v>300000.0</v>
      </c>
      <c r="G251" s="29">
        <v>0.0</v>
      </c>
      <c r="H251" s="28"/>
      <c r="I251" s="28"/>
      <c r="J251" s="29">
        <f t="shared" si="11"/>
        <v>700000</v>
      </c>
      <c r="K251" s="17" t="s">
        <v>21</v>
      </c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>
        <v>246.0</v>
      </c>
      <c r="B252" s="43">
        <v>46132.0</v>
      </c>
      <c r="C252" s="20">
        <v>0.3333333333321207</v>
      </c>
      <c r="D252" s="21" t="s">
        <v>244</v>
      </c>
      <c r="E252" s="23">
        <v>1500000.0</v>
      </c>
      <c r="F252" s="23">
        <v>600000.0</v>
      </c>
      <c r="G252" s="23">
        <v>0.0</v>
      </c>
      <c r="H252" s="22"/>
      <c r="I252" s="22"/>
      <c r="J252" s="23">
        <f t="shared" si="11"/>
        <v>900000</v>
      </c>
      <c r="K252" s="17" t="s">
        <v>21</v>
      </c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8">
        <v>247.0</v>
      </c>
      <c r="B253" s="43">
        <v>46132.0</v>
      </c>
      <c r="C253" s="20">
        <v>0.625</v>
      </c>
      <c r="D253" s="21" t="s">
        <v>245</v>
      </c>
      <c r="E253" s="23">
        <v>1500000.0</v>
      </c>
      <c r="F253" s="23">
        <v>600000.0</v>
      </c>
      <c r="G253" s="23">
        <v>0.0</v>
      </c>
      <c r="H253" s="22"/>
      <c r="I253" s="22"/>
      <c r="J253" s="23">
        <f t="shared" si="11"/>
        <v>900000</v>
      </c>
      <c r="K253" s="17" t="s">
        <v>21</v>
      </c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8">
        <v>248.0</v>
      </c>
      <c r="B254" s="43">
        <v>46132.0</v>
      </c>
      <c r="C254" s="20">
        <v>0.7916666666678793</v>
      </c>
      <c r="D254" s="21" t="s">
        <v>246</v>
      </c>
      <c r="E254" s="23">
        <v>1500000.0</v>
      </c>
      <c r="F254" s="23">
        <v>480000.0</v>
      </c>
      <c r="G254" s="23">
        <v>0.0</v>
      </c>
      <c r="H254" s="22"/>
      <c r="I254" s="22"/>
      <c r="J254" s="23">
        <f t="shared" si="11"/>
        <v>1020000</v>
      </c>
      <c r="K254" s="17" t="s">
        <v>21</v>
      </c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8">
        <v>249.0</v>
      </c>
      <c r="B255" s="43">
        <v>46132.0</v>
      </c>
      <c r="C255" s="30"/>
      <c r="D255" s="21" t="s">
        <v>247</v>
      </c>
      <c r="E255" s="23">
        <v>1000000.0</v>
      </c>
      <c r="F255" s="23">
        <v>490000.0</v>
      </c>
      <c r="G255" s="23">
        <v>0.0</v>
      </c>
      <c r="H255" s="22"/>
      <c r="I255" s="22"/>
      <c r="J255" s="23">
        <f t="shared" si="11"/>
        <v>510000</v>
      </c>
      <c r="K255" s="17" t="s">
        <v>21</v>
      </c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>
        <v>250.0</v>
      </c>
      <c r="B256" s="43">
        <v>46132.0</v>
      </c>
      <c r="C256" s="30"/>
      <c r="D256" s="21" t="s">
        <v>248</v>
      </c>
      <c r="E256" s="23">
        <v>1500000.0</v>
      </c>
      <c r="F256" s="23">
        <v>650000.0</v>
      </c>
      <c r="G256" s="23">
        <v>0.0</v>
      </c>
      <c r="H256" s="22"/>
      <c r="I256" s="22"/>
      <c r="J256" s="23">
        <f t="shared" si="11"/>
        <v>850000</v>
      </c>
      <c r="K256" s="17" t="s">
        <v>21</v>
      </c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24">
        <v>251.0</v>
      </c>
      <c r="B257" s="44">
        <v>46133.0</v>
      </c>
      <c r="C257" s="26">
        <v>0.2916666666678793</v>
      </c>
      <c r="D257" s="27" t="s">
        <v>249</v>
      </c>
      <c r="E257" s="29">
        <v>1150000.0</v>
      </c>
      <c r="F257" s="29">
        <v>816000.0</v>
      </c>
      <c r="G257" s="29">
        <v>0.0</v>
      </c>
      <c r="H257" s="28"/>
      <c r="I257" s="28"/>
      <c r="J257" s="29">
        <f t="shared" si="11"/>
        <v>334000</v>
      </c>
      <c r="K257" s="17" t="s">
        <v>21</v>
      </c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>
        <v>252.0</v>
      </c>
      <c r="B258" s="43">
        <v>46133.0</v>
      </c>
      <c r="C258" s="20">
        <v>0.4583333333321207</v>
      </c>
      <c r="D258" s="21" t="s">
        <v>250</v>
      </c>
      <c r="E258" s="23">
        <v>500000.0</v>
      </c>
      <c r="F258" s="23">
        <v>250000.0</v>
      </c>
      <c r="G258" s="23">
        <v>0.0</v>
      </c>
      <c r="H258" s="22"/>
      <c r="I258" s="22"/>
      <c r="J258" s="23">
        <f t="shared" si="11"/>
        <v>250000</v>
      </c>
      <c r="K258" s="17" t="s">
        <v>21</v>
      </c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8">
        <v>253.0</v>
      </c>
      <c r="B259" s="43">
        <v>46133.0</v>
      </c>
      <c r="C259" s="20">
        <v>0.5208333333321207</v>
      </c>
      <c r="D259" s="21" t="s">
        <v>251</v>
      </c>
      <c r="E259" s="23">
        <v>1300000.0</v>
      </c>
      <c r="F259" s="23">
        <v>692000.0</v>
      </c>
      <c r="G259" s="23">
        <v>0.0</v>
      </c>
      <c r="H259" s="22"/>
      <c r="I259" s="22"/>
      <c r="J259" s="23">
        <f t="shared" si="11"/>
        <v>608000</v>
      </c>
      <c r="K259" s="17" t="s">
        <v>21</v>
      </c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8">
        <v>254.0</v>
      </c>
      <c r="B260" s="43">
        <v>46133.0</v>
      </c>
      <c r="C260" s="30"/>
      <c r="D260" s="21" t="s">
        <v>252</v>
      </c>
      <c r="E260" s="23">
        <v>1600000.0</v>
      </c>
      <c r="F260" s="23">
        <v>636000.0</v>
      </c>
      <c r="G260" s="23">
        <v>0.0</v>
      </c>
      <c r="H260" s="22"/>
      <c r="I260" s="22"/>
      <c r="J260" s="23">
        <f t="shared" si="11"/>
        <v>964000</v>
      </c>
      <c r="K260" s="17" t="s">
        <v>21</v>
      </c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8">
        <v>255.0</v>
      </c>
      <c r="B261" s="43">
        <v>46133.0</v>
      </c>
      <c r="C261" s="30"/>
      <c r="D261" s="21" t="s">
        <v>253</v>
      </c>
      <c r="E261" s="23">
        <v>1500000.0</v>
      </c>
      <c r="F261" s="23">
        <v>600000.0</v>
      </c>
      <c r="G261" s="23">
        <v>0.0</v>
      </c>
      <c r="H261" s="22"/>
      <c r="I261" s="22"/>
      <c r="J261" s="23">
        <f t="shared" si="11"/>
        <v>900000</v>
      </c>
      <c r="K261" s="17" t="s">
        <v>21</v>
      </c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8">
        <v>256.0</v>
      </c>
      <c r="B262" s="43">
        <v>46133.0</v>
      </c>
      <c r="C262" s="30"/>
      <c r="D262" s="21" t="s">
        <v>254</v>
      </c>
      <c r="E262" s="23">
        <v>1000000.0</v>
      </c>
      <c r="F262" s="23">
        <v>600000.0</v>
      </c>
      <c r="G262" s="23">
        <v>0.0</v>
      </c>
      <c r="H262" s="22"/>
      <c r="I262" s="22"/>
      <c r="J262" s="23">
        <f t="shared" si="11"/>
        <v>400000</v>
      </c>
      <c r="K262" s="17" t="s">
        <v>21</v>
      </c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8">
        <v>257.0</v>
      </c>
      <c r="B263" s="43">
        <v>46133.0</v>
      </c>
      <c r="C263" s="30"/>
      <c r="D263" s="21" t="s">
        <v>255</v>
      </c>
      <c r="E263" s="23">
        <v>500000.0</v>
      </c>
      <c r="F263" s="23">
        <v>250000.0</v>
      </c>
      <c r="G263" s="23">
        <v>0.0</v>
      </c>
      <c r="H263" s="22"/>
      <c r="I263" s="22"/>
      <c r="J263" s="23">
        <f t="shared" si="11"/>
        <v>250000</v>
      </c>
      <c r="K263" s="17" t="s">
        <v>21</v>
      </c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24">
        <v>258.0</v>
      </c>
      <c r="B264" s="44">
        <v>46134.0</v>
      </c>
      <c r="C264" s="31"/>
      <c r="D264" s="27" t="s">
        <v>256</v>
      </c>
      <c r="E264" s="29">
        <v>800000.0</v>
      </c>
      <c r="F264" s="29">
        <v>800000.0</v>
      </c>
      <c r="G264" s="29">
        <v>0.0</v>
      </c>
      <c r="H264" s="28"/>
      <c r="I264" s="28"/>
      <c r="J264" s="29">
        <f t="shared" si="11"/>
        <v>0</v>
      </c>
      <c r="K264" s="17" t="s">
        <v>21</v>
      </c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8">
        <v>259.0</v>
      </c>
      <c r="B265" s="43">
        <v>46134.0</v>
      </c>
      <c r="C265" s="30"/>
      <c r="D265" s="21" t="s">
        <v>257</v>
      </c>
      <c r="E265" s="23">
        <v>500000.0</v>
      </c>
      <c r="F265" s="23">
        <v>250000.0</v>
      </c>
      <c r="G265" s="23">
        <v>0.0</v>
      </c>
      <c r="H265" s="22"/>
      <c r="I265" s="22"/>
      <c r="J265" s="23">
        <f t="shared" si="11"/>
        <v>250000</v>
      </c>
      <c r="K265" s="17" t="s">
        <v>21</v>
      </c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8">
        <v>260.0</v>
      </c>
      <c r="B266" s="43">
        <v>46134.0</v>
      </c>
      <c r="C266" s="30"/>
      <c r="D266" s="21" t="s">
        <v>258</v>
      </c>
      <c r="E266" s="23">
        <v>1500000.0</v>
      </c>
      <c r="F266" s="23">
        <v>600000.0</v>
      </c>
      <c r="G266" s="23">
        <v>0.0</v>
      </c>
      <c r="H266" s="22"/>
      <c r="I266" s="22"/>
      <c r="J266" s="23">
        <f t="shared" si="11"/>
        <v>900000</v>
      </c>
      <c r="K266" s="17" t="s">
        <v>21</v>
      </c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24">
        <v>261.0</v>
      </c>
      <c r="B267" s="44">
        <v>46135.0</v>
      </c>
      <c r="C267" s="26">
        <v>0.3125</v>
      </c>
      <c r="D267" s="27" t="s">
        <v>259</v>
      </c>
      <c r="E267" s="29">
        <v>500000.0</v>
      </c>
      <c r="F267" s="29">
        <v>100000.0</v>
      </c>
      <c r="G267" s="29">
        <v>0.0</v>
      </c>
      <c r="H267" s="28"/>
      <c r="I267" s="28"/>
      <c r="J267" s="29">
        <f t="shared" si="11"/>
        <v>400000</v>
      </c>
      <c r="K267" s="17" t="s">
        <v>21</v>
      </c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8">
        <v>262.0</v>
      </c>
      <c r="B268" s="43">
        <v>46135.0</v>
      </c>
      <c r="C268" s="20">
        <v>0.5</v>
      </c>
      <c r="D268" s="21" t="s">
        <v>260</v>
      </c>
      <c r="E268" s="23">
        <v>750000.0</v>
      </c>
      <c r="F268" s="23">
        <v>490000.0</v>
      </c>
      <c r="G268" s="23">
        <v>0.0</v>
      </c>
      <c r="H268" s="22"/>
      <c r="I268" s="22"/>
      <c r="J268" s="23">
        <f t="shared" si="11"/>
        <v>260000</v>
      </c>
      <c r="K268" s="17" t="s">
        <v>21</v>
      </c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24">
        <v>263.0</v>
      </c>
      <c r="B269" s="44">
        <v>46136.0</v>
      </c>
      <c r="C269" s="26">
        <v>0.3333333333321207</v>
      </c>
      <c r="D269" s="27" t="s">
        <v>261</v>
      </c>
      <c r="E269" s="29">
        <v>1100000.0</v>
      </c>
      <c r="F269" s="29">
        <v>600000.0</v>
      </c>
      <c r="G269" s="29">
        <v>0.0</v>
      </c>
      <c r="H269" s="28"/>
      <c r="I269" s="28"/>
      <c r="J269" s="29">
        <f t="shared" si="11"/>
        <v>500000</v>
      </c>
      <c r="K269" s="17" t="s">
        <v>21</v>
      </c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8">
        <v>264.0</v>
      </c>
      <c r="B270" s="43">
        <v>46136.0</v>
      </c>
      <c r="C270" s="30"/>
      <c r="D270" s="21" t="s">
        <v>262</v>
      </c>
      <c r="E270" s="23">
        <v>2000000.0</v>
      </c>
      <c r="F270" s="23">
        <v>1080000.0</v>
      </c>
      <c r="G270" s="23">
        <v>0.0</v>
      </c>
      <c r="H270" s="22"/>
      <c r="I270" s="22"/>
      <c r="J270" s="23">
        <f t="shared" si="11"/>
        <v>920000</v>
      </c>
      <c r="K270" s="17" t="s">
        <v>21</v>
      </c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8">
        <v>265.0</v>
      </c>
      <c r="B271" s="43">
        <v>46136.0</v>
      </c>
      <c r="C271" s="30"/>
      <c r="D271" s="21" t="s">
        <v>263</v>
      </c>
      <c r="E271" s="23">
        <v>1000000.0</v>
      </c>
      <c r="F271" s="23">
        <v>300000.0</v>
      </c>
      <c r="G271" s="23">
        <v>0.0</v>
      </c>
      <c r="H271" s="22"/>
      <c r="I271" s="22"/>
      <c r="J271" s="23">
        <f t="shared" si="11"/>
        <v>700000</v>
      </c>
      <c r="K271" s="17" t="s">
        <v>21</v>
      </c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8">
        <v>266.0</v>
      </c>
      <c r="B272" s="43">
        <v>46136.0</v>
      </c>
      <c r="C272" s="30"/>
      <c r="D272" s="21" t="s">
        <v>264</v>
      </c>
      <c r="E272" s="23">
        <v>1500000.0</v>
      </c>
      <c r="F272" s="23">
        <v>600000.0</v>
      </c>
      <c r="G272" s="23">
        <v>0.0</v>
      </c>
      <c r="H272" s="22"/>
      <c r="I272" s="22"/>
      <c r="J272" s="23">
        <f t="shared" si="11"/>
        <v>900000</v>
      </c>
      <c r="K272" s="17" t="s">
        <v>21</v>
      </c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24">
        <v>267.0</v>
      </c>
      <c r="B273" s="44">
        <v>46137.0</v>
      </c>
      <c r="C273" s="26">
        <v>0.2916666666678793</v>
      </c>
      <c r="D273" s="27" t="s">
        <v>265</v>
      </c>
      <c r="E273" s="29">
        <v>500000.0</v>
      </c>
      <c r="F273" s="29">
        <v>200000.0</v>
      </c>
      <c r="G273" s="29">
        <v>0.0</v>
      </c>
      <c r="H273" s="28"/>
      <c r="I273" s="28"/>
      <c r="J273" s="29">
        <f t="shared" si="11"/>
        <v>300000</v>
      </c>
      <c r="K273" s="17" t="s">
        <v>21</v>
      </c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8">
        <v>268.0</v>
      </c>
      <c r="B274" s="43">
        <v>46137.0</v>
      </c>
      <c r="C274" s="20">
        <v>0.3333333333321207</v>
      </c>
      <c r="D274" s="21" t="s">
        <v>266</v>
      </c>
      <c r="E274" s="23">
        <v>500000.0</v>
      </c>
      <c r="F274" s="23">
        <v>250000.0</v>
      </c>
      <c r="G274" s="23">
        <v>0.0</v>
      </c>
      <c r="H274" s="22"/>
      <c r="I274" s="22"/>
      <c r="J274" s="23">
        <f t="shared" si="11"/>
        <v>250000</v>
      </c>
      <c r="K274" s="17" t="s">
        <v>21</v>
      </c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8">
        <v>269.0</v>
      </c>
      <c r="B275" s="43">
        <v>46137.0</v>
      </c>
      <c r="C275" s="30"/>
      <c r="D275" s="21" t="s">
        <v>267</v>
      </c>
      <c r="E275" s="23">
        <v>2000000.0</v>
      </c>
      <c r="F275" s="23">
        <v>800000.0</v>
      </c>
      <c r="G275" s="23">
        <v>0.0</v>
      </c>
      <c r="H275" s="22"/>
      <c r="I275" s="22"/>
      <c r="J275" s="23">
        <f t="shared" si="11"/>
        <v>1200000</v>
      </c>
      <c r="K275" s="17" t="s">
        <v>21</v>
      </c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8">
        <v>270.0</v>
      </c>
      <c r="B276" s="43">
        <v>46137.0</v>
      </c>
      <c r="C276" s="30"/>
      <c r="D276" s="21" t="s">
        <v>268</v>
      </c>
      <c r="E276" s="23">
        <v>2250000.0</v>
      </c>
      <c r="F276" s="23">
        <v>900000.0</v>
      </c>
      <c r="G276" s="23">
        <v>0.0</v>
      </c>
      <c r="H276" s="22"/>
      <c r="I276" s="22"/>
      <c r="J276" s="23">
        <f t="shared" si="11"/>
        <v>1350000</v>
      </c>
      <c r="K276" s="17" t="s">
        <v>21</v>
      </c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24">
        <v>271.0</v>
      </c>
      <c r="B277" s="44">
        <v>46138.0</v>
      </c>
      <c r="C277" s="26">
        <v>0.3125</v>
      </c>
      <c r="D277" s="27" t="s">
        <v>269</v>
      </c>
      <c r="E277" s="29">
        <v>500000.0</v>
      </c>
      <c r="F277" s="29">
        <v>0.0</v>
      </c>
      <c r="G277" s="29">
        <v>0.0</v>
      </c>
      <c r="H277" s="28"/>
      <c r="I277" s="28"/>
      <c r="J277" s="29">
        <f t="shared" si="11"/>
        <v>500000</v>
      </c>
      <c r="K277" s="17" t="s">
        <v>21</v>
      </c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8">
        <v>272.0</v>
      </c>
      <c r="B278" s="43">
        <v>46138.0</v>
      </c>
      <c r="C278" s="20">
        <v>0.3333333333321207</v>
      </c>
      <c r="D278" s="21" t="s">
        <v>270</v>
      </c>
      <c r="E278" s="23">
        <v>800000.0</v>
      </c>
      <c r="F278" s="23">
        <v>600000.0</v>
      </c>
      <c r="G278" s="23">
        <v>0.0</v>
      </c>
      <c r="H278" s="22"/>
      <c r="I278" s="22"/>
      <c r="J278" s="23">
        <f t="shared" si="11"/>
        <v>200000</v>
      </c>
      <c r="K278" s="17" t="s">
        <v>21</v>
      </c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8">
        <v>273.0</v>
      </c>
      <c r="B279" s="43">
        <v>46138.0</v>
      </c>
      <c r="C279" s="20">
        <v>0.625</v>
      </c>
      <c r="D279" s="21" t="s">
        <v>271</v>
      </c>
      <c r="E279" s="23">
        <v>500000.0</v>
      </c>
      <c r="F279" s="23">
        <v>150000.0</v>
      </c>
      <c r="G279" s="23">
        <v>0.0</v>
      </c>
      <c r="H279" s="22"/>
      <c r="I279" s="22"/>
      <c r="J279" s="23">
        <f t="shared" si="11"/>
        <v>350000</v>
      </c>
      <c r="K279" s="17" t="s">
        <v>21</v>
      </c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8">
        <v>274.0</v>
      </c>
      <c r="B280" s="43">
        <v>46138.0</v>
      </c>
      <c r="C280" s="20">
        <v>0.7083333333321207</v>
      </c>
      <c r="D280" s="21" t="s">
        <v>272</v>
      </c>
      <c r="E280" s="23">
        <v>1500000.0</v>
      </c>
      <c r="F280" s="23">
        <v>650000.0</v>
      </c>
      <c r="G280" s="23">
        <v>0.0</v>
      </c>
      <c r="H280" s="22"/>
      <c r="I280" s="22"/>
      <c r="J280" s="23">
        <f t="shared" si="11"/>
        <v>850000</v>
      </c>
      <c r="K280" s="17" t="s">
        <v>21</v>
      </c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8">
        <v>275.0</v>
      </c>
      <c r="B281" s="43">
        <v>46138.0</v>
      </c>
      <c r="C281" s="30"/>
      <c r="D281" s="21" t="s">
        <v>273</v>
      </c>
      <c r="E281" s="23">
        <v>1000000.0</v>
      </c>
      <c r="F281" s="23">
        <v>450000.0</v>
      </c>
      <c r="G281" s="23">
        <v>0.0</v>
      </c>
      <c r="H281" s="22"/>
      <c r="I281" s="22"/>
      <c r="J281" s="23">
        <f t="shared" si="11"/>
        <v>550000</v>
      </c>
      <c r="K281" s="17" t="s">
        <v>21</v>
      </c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8">
        <v>276.0</v>
      </c>
      <c r="B282" s="43">
        <v>46138.0</v>
      </c>
      <c r="C282" s="30"/>
      <c r="D282" s="21" t="s">
        <v>274</v>
      </c>
      <c r="E282" s="23">
        <v>500000.0</v>
      </c>
      <c r="F282" s="23">
        <v>200000.0</v>
      </c>
      <c r="G282" s="23">
        <v>0.0</v>
      </c>
      <c r="H282" s="22"/>
      <c r="I282" s="22"/>
      <c r="J282" s="23">
        <f t="shared" si="11"/>
        <v>300000</v>
      </c>
      <c r="K282" s="17" t="s">
        <v>21</v>
      </c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8">
        <v>277.0</v>
      </c>
      <c r="B283" s="43">
        <v>46138.0</v>
      </c>
      <c r="C283" s="30"/>
      <c r="D283" s="21" t="s">
        <v>275</v>
      </c>
      <c r="E283" s="23">
        <v>1000000.0</v>
      </c>
      <c r="F283" s="23">
        <v>300000.0</v>
      </c>
      <c r="G283" s="23">
        <v>0.0</v>
      </c>
      <c r="H283" s="22"/>
      <c r="I283" s="22"/>
      <c r="J283" s="23">
        <f t="shared" si="11"/>
        <v>700000</v>
      </c>
      <c r="K283" s="17" t="s">
        <v>21</v>
      </c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24">
        <v>278.0</v>
      </c>
      <c r="B284" s="44">
        <v>46139.0</v>
      </c>
      <c r="C284" s="26">
        <v>0.2916666666678793</v>
      </c>
      <c r="D284" s="27" t="s">
        <v>276</v>
      </c>
      <c r="E284" s="29">
        <v>1000000.0</v>
      </c>
      <c r="F284" s="29">
        <v>545000.0</v>
      </c>
      <c r="G284" s="29">
        <v>0.0</v>
      </c>
      <c r="H284" s="28"/>
      <c r="I284" s="28"/>
      <c r="J284" s="29">
        <f t="shared" si="11"/>
        <v>455000</v>
      </c>
      <c r="K284" s="17" t="s">
        <v>21</v>
      </c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8">
        <v>279.0</v>
      </c>
      <c r="B285" s="43">
        <v>46139.0</v>
      </c>
      <c r="C285" s="20">
        <v>0.4583333333321207</v>
      </c>
      <c r="D285" s="21" t="s">
        <v>277</v>
      </c>
      <c r="E285" s="23">
        <v>500000.0</v>
      </c>
      <c r="F285" s="23">
        <v>200000.0</v>
      </c>
      <c r="G285" s="23">
        <v>0.0</v>
      </c>
      <c r="H285" s="22"/>
      <c r="I285" s="22"/>
      <c r="J285" s="23">
        <f t="shared" si="11"/>
        <v>300000</v>
      </c>
      <c r="K285" s="17" t="s">
        <v>21</v>
      </c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8">
        <v>280.0</v>
      </c>
      <c r="B286" s="43">
        <v>46139.0</v>
      </c>
      <c r="C286" s="20">
        <v>0.4583333333321207</v>
      </c>
      <c r="D286" s="21" t="s">
        <v>278</v>
      </c>
      <c r="E286" s="23">
        <v>500000.0</v>
      </c>
      <c r="F286" s="23">
        <v>200000.0</v>
      </c>
      <c r="G286" s="23">
        <v>0.0</v>
      </c>
      <c r="H286" s="22"/>
      <c r="I286" s="22"/>
      <c r="J286" s="23">
        <f t="shared" si="11"/>
        <v>300000</v>
      </c>
      <c r="K286" s="17" t="s">
        <v>21</v>
      </c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8">
        <v>281.0</v>
      </c>
      <c r="B287" s="43">
        <v>46139.0</v>
      </c>
      <c r="C287" s="20">
        <v>0.5416666666678793</v>
      </c>
      <c r="D287" s="21" t="s">
        <v>279</v>
      </c>
      <c r="E287" s="23">
        <v>1500000.0</v>
      </c>
      <c r="F287" s="23">
        <v>600000.0</v>
      </c>
      <c r="G287" s="23">
        <v>0.0</v>
      </c>
      <c r="H287" s="22"/>
      <c r="I287" s="22"/>
      <c r="J287" s="23">
        <f t="shared" si="11"/>
        <v>900000</v>
      </c>
      <c r="K287" s="17" t="s">
        <v>21</v>
      </c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8">
        <v>282.0</v>
      </c>
      <c r="B288" s="43">
        <v>46139.0</v>
      </c>
      <c r="C288" s="30"/>
      <c r="D288" s="21" t="s">
        <v>280</v>
      </c>
      <c r="E288" s="23">
        <v>1000000.0</v>
      </c>
      <c r="F288" s="23">
        <v>300000.0</v>
      </c>
      <c r="G288" s="23">
        <v>0.0</v>
      </c>
      <c r="H288" s="22"/>
      <c r="I288" s="22"/>
      <c r="J288" s="23">
        <f t="shared" si="11"/>
        <v>700000</v>
      </c>
      <c r="K288" s="17" t="s">
        <v>21</v>
      </c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24">
        <v>283.0</v>
      </c>
      <c r="B289" s="44">
        <v>46140.0</v>
      </c>
      <c r="C289" s="26">
        <v>0.2916666666678793</v>
      </c>
      <c r="D289" s="27" t="s">
        <v>281</v>
      </c>
      <c r="E289" s="29">
        <v>1250000.0</v>
      </c>
      <c r="F289" s="29">
        <v>600000.0</v>
      </c>
      <c r="G289" s="29">
        <v>0.0</v>
      </c>
      <c r="H289" s="28"/>
      <c r="I289" s="28"/>
      <c r="J289" s="29">
        <f t="shared" si="11"/>
        <v>650000</v>
      </c>
      <c r="K289" s="17" t="s">
        <v>21</v>
      </c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8">
        <v>284.0</v>
      </c>
      <c r="B290" s="43">
        <v>46140.0</v>
      </c>
      <c r="C290" s="20">
        <v>0.3333333333321207</v>
      </c>
      <c r="D290" s="21" t="s">
        <v>282</v>
      </c>
      <c r="E290" s="23">
        <v>1000000.0</v>
      </c>
      <c r="F290" s="23">
        <v>300000.0</v>
      </c>
      <c r="G290" s="23">
        <v>0.0</v>
      </c>
      <c r="H290" s="22"/>
      <c r="I290" s="22"/>
      <c r="J290" s="23">
        <f t="shared" si="11"/>
        <v>700000</v>
      </c>
      <c r="K290" s="17" t="s">
        <v>21</v>
      </c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8">
        <v>285.0</v>
      </c>
      <c r="B291" s="43">
        <v>46140.0</v>
      </c>
      <c r="C291" s="30"/>
      <c r="D291" s="21" t="s">
        <v>283</v>
      </c>
      <c r="E291" s="23">
        <v>500000.0</v>
      </c>
      <c r="F291" s="23">
        <v>200000.0</v>
      </c>
      <c r="G291" s="23">
        <v>0.0</v>
      </c>
      <c r="H291" s="22"/>
      <c r="I291" s="22"/>
      <c r="J291" s="23">
        <f t="shared" si="11"/>
        <v>300000</v>
      </c>
      <c r="K291" s="17" t="s">
        <v>21</v>
      </c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8">
        <v>286.0</v>
      </c>
      <c r="B292" s="43">
        <v>46140.0</v>
      </c>
      <c r="C292" s="30"/>
      <c r="D292" s="21" t="s">
        <v>284</v>
      </c>
      <c r="E292" s="23">
        <v>1500000.0</v>
      </c>
      <c r="F292" s="23">
        <v>800000.0</v>
      </c>
      <c r="G292" s="23">
        <v>0.0</v>
      </c>
      <c r="H292" s="22"/>
      <c r="I292" s="22"/>
      <c r="J292" s="23">
        <f t="shared" si="11"/>
        <v>700000</v>
      </c>
      <c r="K292" s="17" t="s">
        <v>21</v>
      </c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8">
        <v>287.0</v>
      </c>
      <c r="B293" s="43">
        <v>46140.0</v>
      </c>
      <c r="C293" s="30"/>
      <c r="D293" s="21" t="s">
        <v>285</v>
      </c>
      <c r="E293" s="23">
        <v>1500000.0</v>
      </c>
      <c r="F293" s="23">
        <v>600000.0</v>
      </c>
      <c r="G293" s="23">
        <v>0.0</v>
      </c>
      <c r="H293" s="22"/>
      <c r="I293" s="22"/>
      <c r="J293" s="23">
        <f t="shared" si="11"/>
        <v>900000</v>
      </c>
      <c r="K293" s="17" t="s">
        <v>21</v>
      </c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24">
        <v>288.0</v>
      </c>
      <c r="B294" s="44">
        <v>46141.0</v>
      </c>
      <c r="C294" s="26">
        <v>0.25</v>
      </c>
      <c r="D294" s="27" t="s">
        <v>286</v>
      </c>
      <c r="E294" s="29">
        <v>1000000.0</v>
      </c>
      <c r="F294" s="29">
        <v>0.0</v>
      </c>
      <c r="G294" s="29">
        <v>300000.0</v>
      </c>
      <c r="H294" s="28"/>
      <c r="I294" s="28"/>
      <c r="J294" s="29">
        <f t="shared" si="11"/>
        <v>700000</v>
      </c>
      <c r="K294" s="17" t="s">
        <v>21</v>
      </c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8">
        <v>289.0</v>
      </c>
      <c r="B295" s="43">
        <v>46141.0</v>
      </c>
      <c r="C295" s="20">
        <v>0.3333333333321207</v>
      </c>
      <c r="D295" s="21" t="s">
        <v>287</v>
      </c>
      <c r="E295" s="23">
        <v>1250000.0</v>
      </c>
      <c r="F295" s="23">
        <v>300000.0</v>
      </c>
      <c r="G295" s="23">
        <v>300000.0</v>
      </c>
      <c r="H295" s="22"/>
      <c r="I295" s="22"/>
      <c r="J295" s="23">
        <f t="shared" si="11"/>
        <v>650000</v>
      </c>
      <c r="K295" s="17" t="s">
        <v>21</v>
      </c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8">
        <v>290.0</v>
      </c>
      <c r="B296" s="43">
        <v>46141.0</v>
      </c>
      <c r="C296" s="20">
        <v>0.625</v>
      </c>
      <c r="D296" s="21" t="s">
        <v>288</v>
      </c>
      <c r="E296" s="23">
        <v>500000.0</v>
      </c>
      <c r="F296" s="23">
        <v>200000.0</v>
      </c>
      <c r="G296" s="23">
        <v>0.0</v>
      </c>
      <c r="H296" s="22"/>
      <c r="I296" s="22"/>
      <c r="J296" s="23">
        <f t="shared" si="11"/>
        <v>300000</v>
      </c>
      <c r="K296" s="17" t="s">
        <v>21</v>
      </c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8">
        <v>291.0</v>
      </c>
      <c r="B297" s="43">
        <v>46141.0</v>
      </c>
      <c r="C297" s="30"/>
      <c r="D297" s="21" t="s">
        <v>289</v>
      </c>
      <c r="E297" s="23">
        <v>1250000.0</v>
      </c>
      <c r="F297" s="23">
        <v>600000.0</v>
      </c>
      <c r="G297" s="23">
        <v>0.0</v>
      </c>
      <c r="H297" s="22"/>
      <c r="I297" s="22"/>
      <c r="J297" s="23">
        <f t="shared" si="11"/>
        <v>650000</v>
      </c>
      <c r="K297" s="17" t="s">
        <v>21</v>
      </c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8">
        <v>292.0</v>
      </c>
      <c r="B298" s="43">
        <v>46141.0</v>
      </c>
      <c r="C298" s="30"/>
      <c r="D298" s="21" t="s">
        <v>290</v>
      </c>
      <c r="E298" s="23">
        <v>1500000.0</v>
      </c>
      <c r="F298" s="23">
        <v>600000.0</v>
      </c>
      <c r="G298" s="23">
        <v>0.0</v>
      </c>
      <c r="H298" s="22"/>
      <c r="I298" s="22"/>
      <c r="J298" s="23">
        <f t="shared" si="11"/>
        <v>900000</v>
      </c>
      <c r="K298" s="17" t="s">
        <v>21</v>
      </c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8">
        <v>293.0</v>
      </c>
      <c r="B299" s="43">
        <v>46141.0</v>
      </c>
      <c r="C299" s="30"/>
      <c r="D299" s="21" t="s">
        <v>291</v>
      </c>
      <c r="E299" s="23">
        <v>500000.0</v>
      </c>
      <c r="F299" s="23">
        <v>200000.0</v>
      </c>
      <c r="G299" s="23">
        <v>0.0</v>
      </c>
      <c r="H299" s="22"/>
      <c r="I299" s="22"/>
      <c r="J299" s="23">
        <f t="shared" si="11"/>
        <v>300000</v>
      </c>
      <c r="K299" s="17" t="s">
        <v>21</v>
      </c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8">
        <v>294.0</v>
      </c>
      <c r="B300" s="43">
        <v>46141.0</v>
      </c>
      <c r="C300" s="30"/>
      <c r="D300" s="21" t="s">
        <v>292</v>
      </c>
      <c r="E300" s="23">
        <v>700000.0</v>
      </c>
      <c r="F300" s="23">
        <v>300000.0</v>
      </c>
      <c r="G300" s="23">
        <v>0.0</v>
      </c>
      <c r="H300" s="22"/>
      <c r="I300" s="22"/>
      <c r="J300" s="23">
        <f t="shared" si="11"/>
        <v>400000</v>
      </c>
      <c r="K300" s="17" t="s">
        <v>21</v>
      </c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8">
        <v>295.0</v>
      </c>
      <c r="B301" s="43">
        <v>46141.0</v>
      </c>
      <c r="C301" s="30"/>
      <c r="D301" s="21" t="s">
        <v>293</v>
      </c>
      <c r="E301" s="23">
        <v>2250000.0</v>
      </c>
      <c r="F301" s="23">
        <v>900000.0</v>
      </c>
      <c r="G301" s="23">
        <v>0.0</v>
      </c>
      <c r="H301" s="22"/>
      <c r="I301" s="22"/>
      <c r="J301" s="23">
        <f t="shared" si="11"/>
        <v>1350000</v>
      </c>
      <c r="K301" s="17" t="s">
        <v>21</v>
      </c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24">
        <v>296.0</v>
      </c>
      <c r="B302" s="44">
        <v>46142.0</v>
      </c>
      <c r="C302" s="26">
        <v>0.2916666666678793</v>
      </c>
      <c r="D302" s="27" t="s">
        <v>294</v>
      </c>
      <c r="E302" s="29">
        <v>1500000.0</v>
      </c>
      <c r="F302" s="29">
        <v>600000.0</v>
      </c>
      <c r="G302" s="29">
        <v>0.0</v>
      </c>
      <c r="H302" s="28"/>
      <c r="I302" s="28"/>
      <c r="J302" s="29">
        <f t="shared" si="11"/>
        <v>900000</v>
      </c>
      <c r="K302" s="17" t="s">
        <v>21</v>
      </c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8">
        <v>297.0</v>
      </c>
      <c r="B303" s="43">
        <v>46142.0</v>
      </c>
      <c r="C303" s="20">
        <v>0.4166666666678793</v>
      </c>
      <c r="D303" s="21" t="s">
        <v>295</v>
      </c>
      <c r="E303" s="23">
        <v>1250000.0</v>
      </c>
      <c r="F303" s="23">
        <v>500000.0</v>
      </c>
      <c r="G303" s="23">
        <v>0.0</v>
      </c>
      <c r="H303" s="22"/>
      <c r="I303" s="22"/>
      <c r="J303" s="23">
        <f t="shared" si="11"/>
        <v>750000</v>
      </c>
      <c r="K303" s="17" t="s">
        <v>21</v>
      </c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8">
        <v>298.0</v>
      </c>
      <c r="B304" s="43">
        <v>46142.0</v>
      </c>
      <c r="C304" s="30"/>
      <c r="D304" s="21" t="s">
        <v>296</v>
      </c>
      <c r="E304" s="23">
        <v>2750000.0</v>
      </c>
      <c r="F304" s="23">
        <v>1200000.0</v>
      </c>
      <c r="G304" s="23">
        <v>0.0</v>
      </c>
      <c r="H304" s="22"/>
      <c r="I304" s="22"/>
      <c r="J304" s="23">
        <f t="shared" si="11"/>
        <v>1550000</v>
      </c>
      <c r="K304" s="17" t="s">
        <v>21</v>
      </c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8">
        <v>299.0</v>
      </c>
      <c r="B305" s="43">
        <v>46142.0</v>
      </c>
      <c r="C305" s="30"/>
      <c r="D305" s="21" t="s">
        <v>297</v>
      </c>
      <c r="E305" s="23">
        <v>1500000.0</v>
      </c>
      <c r="F305" s="23">
        <v>600000.0</v>
      </c>
      <c r="G305" s="23">
        <v>0.0</v>
      </c>
      <c r="H305" s="22"/>
      <c r="I305" s="22"/>
      <c r="J305" s="23">
        <f t="shared" si="11"/>
        <v>900000</v>
      </c>
      <c r="K305" s="17" t="s">
        <v>21</v>
      </c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8">
        <v>300.0</v>
      </c>
      <c r="B306" s="43">
        <v>46142.0</v>
      </c>
      <c r="C306" s="30"/>
      <c r="D306" s="21" t="s">
        <v>298</v>
      </c>
      <c r="E306" s="23">
        <v>2250000.0</v>
      </c>
      <c r="F306" s="23">
        <v>900000.0</v>
      </c>
      <c r="G306" s="23">
        <v>0.0</v>
      </c>
      <c r="H306" s="22"/>
      <c r="I306" s="22"/>
      <c r="J306" s="23">
        <f t="shared" si="11"/>
        <v>1350000</v>
      </c>
      <c r="K306" s="17" t="s">
        <v>21</v>
      </c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8">
        <v>301.0</v>
      </c>
      <c r="B307" s="43">
        <v>46142.0</v>
      </c>
      <c r="C307" s="30"/>
      <c r="D307" s="21" t="s">
        <v>299</v>
      </c>
      <c r="E307" s="23">
        <v>1250000.0</v>
      </c>
      <c r="F307" s="23">
        <v>500000.0</v>
      </c>
      <c r="G307" s="23">
        <v>0.0</v>
      </c>
      <c r="H307" s="23">
        <v>9200000.0</v>
      </c>
      <c r="I307" s="22"/>
      <c r="J307" s="23">
        <f t="shared" si="11"/>
        <v>-8450000</v>
      </c>
      <c r="K307" s="17" t="s">
        <v>21</v>
      </c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5" t="s">
        <v>23</v>
      </c>
      <c r="B308" s="6"/>
      <c r="C308" s="6"/>
      <c r="D308" s="6"/>
      <c r="E308" s="6"/>
      <c r="F308" s="6"/>
      <c r="G308" s="6"/>
      <c r="H308" s="6"/>
      <c r="I308" s="6"/>
      <c r="J308" s="7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24">
        <v>302.0</v>
      </c>
      <c r="B309" s="44">
        <v>46143.0</v>
      </c>
      <c r="C309" s="26">
        <v>0.25</v>
      </c>
      <c r="D309" s="27" t="s">
        <v>300</v>
      </c>
      <c r="E309" s="29">
        <v>2600000.0</v>
      </c>
      <c r="F309" s="29">
        <v>1000000.0</v>
      </c>
      <c r="G309" s="29">
        <v>700000.0</v>
      </c>
      <c r="H309" s="28"/>
      <c r="I309" s="28"/>
      <c r="J309" s="29">
        <f t="shared" ref="J309:J415" si="12">N(E309)-N(F309)-N(G309)-N(H309)-N(I309)</f>
        <v>900000</v>
      </c>
      <c r="K309" s="17" t="s">
        <v>23</v>
      </c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24">
        <v>303.0</v>
      </c>
      <c r="B310" s="44">
        <v>46146.0</v>
      </c>
      <c r="C310" s="26">
        <v>0.4791666666678793</v>
      </c>
      <c r="D310" s="27" t="s">
        <v>301</v>
      </c>
      <c r="E310" s="29">
        <v>2000000.0</v>
      </c>
      <c r="F310" s="29">
        <v>800000.0</v>
      </c>
      <c r="G310" s="29">
        <v>100000.0</v>
      </c>
      <c r="H310" s="28"/>
      <c r="I310" s="28"/>
      <c r="J310" s="29">
        <f t="shared" si="12"/>
        <v>1100000</v>
      </c>
      <c r="K310" s="17" t="s">
        <v>23</v>
      </c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8">
        <v>304.0</v>
      </c>
      <c r="B311" s="43">
        <v>46146.0</v>
      </c>
      <c r="C311" s="30"/>
      <c r="D311" s="21" t="s">
        <v>302</v>
      </c>
      <c r="E311" s="23">
        <v>1000000.0</v>
      </c>
      <c r="F311" s="23">
        <v>500000.0</v>
      </c>
      <c r="G311" s="23">
        <v>0.0</v>
      </c>
      <c r="H311" s="22"/>
      <c r="I311" s="22"/>
      <c r="J311" s="23">
        <f t="shared" si="12"/>
        <v>500000</v>
      </c>
      <c r="K311" s="17" t="s">
        <v>23</v>
      </c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8">
        <v>305.0</v>
      </c>
      <c r="B312" s="43">
        <v>46146.0</v>
      </c>
      <c r="C312" s="30"/>
      <c r="D312" s="21" t="s">
        <v>303</v>
      </c>
      <c r="E312" s="23">
        <v>1100000.0</v>
      </c>
      <c r="F312" s="23">
        <v>500000.0</v>
      </c>
      <c r="G312" s="23">
        <v>0.0</v>
      </c>
      <c r="H312" s="22"/>
      <c r="I312" s="22"/>
      <c r="J312" s="23">
        <f t="shared" si="12"/>
        <v>600000</v>
      </c>
      <c r="K312" s="17" t="s">
        <v>23</v>
      </c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24">
        <v>306.0</v>
      </c>
      <c r="B313" s="44">
        <v>46147.0</v>
      </c>
      <c r="C313" s="26">
        <v>0.28125</v>
      </c>
      <c r="D313" s="27" t="s">
        <v>304</v>
      </c>
      <c r="E313" s="29">
        <v>900000.0</v>
      </c>
      <c r="F313" s="29">
        <v>400000.0</v>
      </c>
      <c r="G313" s="29">
        <v>0.0</v>
      </c>
      <c r="H313" s="28"/>
      <c r="I313" s="28"/>
      <c r="J313" s="29">
        <f t="shared" si="12"/>
        <v>500000</v>
      </c>
      <c r="K313" s="17" t="s">
        <v>23</v>
      </c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8">
        <v>307.0</v>
      </c>
      <c r="B314" s="43">
        <v>46147.0</v>
      </c>
      <c r="C314" s="30"/>
      <c r="D314" s="21" t="s">
        <v>305</v>
      </c>
      <c r="E314" s="23">
        <v>500000.0</v>
      </c>
      <c r="F314" s="23">
        <v>250000.0</v>
      </c>
      <c r="G314" s="23">
        <v>0.0</v>
      </c>
      <c r="H314" s="22"/>
      <c r="I314" s="22"/>
      <c r="J314" s="23">
        <f t="shared" si="12"/>
        <v>250000</v>
      </c>
      <c r="K314" s="17" t="s">
        <v>23</v>
      </c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8">
        <v>308.0</v>
      </c>
      <c r="B315" s="43">
        <v>46147.0</v>
      </c>
      <c r="C315" s="30"/>
      <c r="D315" s="21" t="s">
        <v>306</v>
      </c>
      <c r="E315" s="23">
        <v>500000.0</v>
      </c>
      <c r="F315" s="23">
        <v>250000.0</v>
      </c>
      <c r="G315" s="23">
        <v>0.0</v>
      </c>
      <c r="H315" s="22"/>
      <c r="I315" s="22"/>
      <c r="J315" s="23">
        <f t="shared" si="12"/>
        <v>250000</v>
      </c>
      <c r="K315" s="17" t="s">
        <v>23</v>
      </c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24">
        <v>309.0</v>
      </c>
      <c r="B316" s="44">
        <v>46148.0</v>
      </c>
      <c r="C316" s="31"/>
      <c r="D316" s="27" t="s">
        <v>307</v>
      </c>
      <c r="E316" s="29">
        <v>2000000.0</v>
      </c>
      <c r="F316" s="29">
        <v>800000.0</v>
      </c>
      <c r="G316" s="29">
        <v>100000.0</v>
      </c>
      <c r="H316" s="28"/>
      <c r="I316" s="28"/>
      <c r="J316" s="29">
        <f t="shared" si="12"/>
        <v>1100000</v>
      </c>
      <c r="K316" s="17" t="s">
        <v>23</v>
      </c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8">
        <v>310.0</v>
      </c>
      <c r="B317" s="43">
        <v>46148.0</v>
      </c>
      <c r="C317" s="30"/>
      <c r="D317" s="21" t="s">
        <v>308</v>
      </c>
      <c r="E317" s="23">
        <v>1000000.0</v>
      </c>
      <c r="F317" s="23">
        <v>300000.0</v>
      </c>
      <c r="G317" s="23">
        <v>0.0</v>
      </c>
      <c r="H317" s="22"/>
      <c r="I317" s="22"/>
      <c r="J317" s="23">
        <f t="shared" si="12"/>
        <v>700000</v>
      </c>
      <c r="K317" s="17" t="s">
        <v>23</v>
      </c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24">
        <v>311.0</v>
      </c>
      <c r="B318" s="44">
        <v>46150.0</v>
      </c>
      <c r="C318" s="31"/>
      <c r="D318" s="27" t="s">
        <v>309</v>
      </c>
      <c r="E318" s="29">
        <v>500000.0</v>
      </c>
      <c r="F318" s="29">
        <v>200000.0</v>
      </c>
      <c r="G318" s="29">
        <v>0.0</v>
      </c>
      <c r="H318" s="28"/>
      <c r="I318" s="28"/>
      <c r="J318" s="29">
        <f t="shared" si="12"/>
        <v>300000</v>
      </c>
      <c r="K318" s="17" t="s">
        <v>23</v>
      </c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8">
        <v>312.0</v>
      </c>
      <c r="B319" s="43">
        <v>46150.0</v>
      </c>
      <c r="C319" s="30"/>
      <c r="D319" s="21" t="s">
        <v>310</v>
      </c>
      <c r="E319" s="23">
        <v>500000.0</v>
      </c>
      <c r="F319" s="23">
        <v>200000.0</v>
      </c>
      <c r="G319" s="23">
        <v>0.0</v>
      </c>
      <c r="H319" s="22"/>
      <c r="I319" s="22"/>
      <c r="J319" s="23">
        <f t="shared" si="12"/>
        <v>300000</v>
      </c>
      <c r="K319" s="17" t="s">
        <v>23</v>
      </c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24">
        <v>313.0</v>
      </c>
      <c r="B320" s="44">
        <v>46151.0</v>
      </c>
      <c r="C320" s="26">
        <v>0.25</v>
      </c>
      <c r="D320" s="27" t="s">
        <v>311</v>
      </c>
      <c r="E320" s="29">
        <v>500000.0</v>
      </c>
      <c r="F320" s="29">
        <v>200000.0</v>
      </c>
      <c r="G320" s="29">
        <v>0.0</v>
      </c>
      <c r="H320" s="28"/>
      <c r="I320" s="28"/>
      <c r="J320" s="29">
        <f t="shared" si="12"/>
        <v>300000</v>
      </c>
      <c r="K320" s="17" t="s">
        <v>23</v>
      </c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8">
        <v>314.0</v>
      </c>
      <c r="B321" s="43">
        <v>46151.0</v>
      </c>
      <c r="C321" s="20">
        <v>0.8333333333321207</v>
      </c>
      <c r="D321" s="21" t="s">
        <v>312</v>
      </c>
      <c r="E321" s="23">
        <v>500000.0</v>
      </c>
      <c r="F321" s="23">
        <v>250000.0</v>
      </c>
      <c r="G321" s="23">
        <v>0.0</v>
      </c>
      <c r="H321" s="22"/>
      <c r="I321" s="22"/>
      <c r="J321" s="23">
        <f t="shared" si="12"/>
        <v>250000</v>
      </c>
      <c r="K321" s="17" t="s">
        <v>23</v>
      </c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8">
        <v>315.0</v>
      </c>
      <c r="B322" s="43">
        <v>46151.0</v>
      </c>
      <c r="C322" s="30"/>
      <c r="D322" s="21" t="s">
        <v>313</v>
      </c>
      <c r="E322" s="23">
        <v>1000000.0</v>
      </c>
      <c r="F322" s="23">
        <v>300000.0</v>
      </c>
      <c r="G322" s="23">
        <v>0.0</v>
      </c>
      <c r="H322" s="22"/>
      <c r="I322" s="22"/>
      <c r="J322" s="23">
        <f t="shared" si="12"/>
        <v>700000</v>
      </c>
      <c r="K322" s="17" t="s">
        <v>23</v>
      </c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8">
        <v>316.0</v>
      </c>
      <c r="B323" s="43">
        <v>46151.0</v>
      </c>
      <c r="C323" s="30"/>
      <c r="D323" s="21" t="s">
        <v>314</v>
      </c>
      <c r="E323" s="23">
        <v>1250000.0</v>
      </c>
      <c r="F323" s="23">
        <v>600000.0</v>
      </c>
      <c r="G323" s="23">
        <v>0.0</v>
      </c>
      <c r="H323" s="22"/>
      <c r="I323" s="22"/>
      <c r="J323" s="23">
        <f t="shared" si="12"/>
        <v>650000</v>
      </c>
      <c r="K323" s="17" t="s">
        <v>23</v>
      </c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24">
        <v>317.0</v>
      </c>
      <c r="B324" s="44">
        <v>46152.0</v>
      </c>
      <c r="C324" s="31"/>
      <c r="D324" s="27" t="s">
        <v>315</v>
      </c>
      <c r="E324" s="29">
        <v>2100000.0</v>
      </c>
      <c r="F324" s="29">
        <v>500000.0</v>
      </c>
      <c r="G324" s="29">
        <v>600000.0</v>
      </c>
      <c r="H324" s="28"/>
      <c r="I324" s="28"/>
      <c r="J324" s="29">
        <f t="shared" si="12"/>
        <v>1000000</v>
      </c>
      <c r="K324" s="17" t="s">
        <v>23</v>
      </c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8">
        <v>318.0</v>
      </c>
      <c r="B325" s="43">
        <v>46152.0</v>
      </c>
      <c r="C325" s="30"/>
      <c r="D325" s="21" t="s">
        <v>316</v>
      </c>
      <c r="E325" s="23">
        <v>1000000.0</v>
      </c>
      <c r="F325" s="23">
        <v>300000.0</v>
      </c>
      <c r="G325" s="23">
        <v>0.0</v>
      </c>
      <c r="H325" s="22"/>
      <c r="I325" s="22"/>
      <c r="J325" s="23">
        <f t="shared" si="12"/>
        <v>700000</v>
      </c>
      <c r="K325" s="17" t="s">
        <v>23</v>
      </c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24">
        <v>319.0</v>
      </c>
      <c r="B326" s="44">
        <v>46153.0</v>
      </c>
      <c r="C326" s="31"/>
      <c r="D326" s="27" t="s">
        <v>317</v>
      </c>
      <c r="E326" s="29">
        <v>500000.0</v>
      </c>
      <c r="F326" s="29">
        <v>200000.0</v>
      </c>
      <c r="G326" s="29">
        <v>0.0</v>
      </c>
      <c r="H326" s="28"/>
      <c r="I326" s="28"/>
      <c r="J326" s="29">
        <f t="shared" si="12"/>
        <v>300000</v>
      </c>
      <c r="K326" s="17" t="s">
        <v>23</v>
      </c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24">
        <v>320.0</v>
      </c>
      <c r="B327" s="44">
        <v>46154.0</v>
      </c>
      <c r="C327" s="31"/>
      <c r="D327" s="27" t="s">
        <v>318</v>
      </c>
      <c r="E327" s="29">
        <v>2600000.0</v>
      </c>
      <c r="F327" s="29">
        <v>1100000.0</v>
      </c>
      <c r="G327" s="29">
        <v>200000.0</v>
      </c>
      <c r="H327" s="28"/>
      <c r="I327" s="28"/>
      <c r="J327" s="29">
        <f t="shared" si="12"/>
        <v>1300000</v>
      </c>
      <c r="K327" s="17" t="s">
        <v>23</v>
      </c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24">
        <v>321.0</v>
      </c>
      <c r="B328" s="44">
        <v>46156.0</v>
      </c>
      <c r="C328" s="26">
        <v>0.25</v>
      </c>
      <c r="D328" s="27" t="s">
        <v>319</v>
      </c>
      <c r="E328" s="29">
        <v>500000.0</v>
      </c>
      <c r="F328" s="29">
        <v>250000.0</v>
      </c>
      <c r="G328" s="29">
        <v>0.0</v>
      </c>
      <c r="H328" s="28"/>
      <c r="I328" s="28"/>
      <c r="J328" s="29">
        <f t="shared" si="12"/>
        <v>250000</v>
      </c>
      <c r="K328" s="17" t="s">
        <v>23</v>
      </c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8">
        <v>322.0</v>
      </c>
      <c r="B329" s="43">
        <v>46156.0</v>
      </c>
      <c r="C329" s="30"/>
      <c r="D329" s="21" t="s">
        <v>320</v>
      </c>
      <c r="E329" s="23">
        <v>1500000.0</v>
      </c>
      <c r="F329" s="23">
        <v>650000.0</v>
      </c>
      <c r="G329" s="23">
        <v>100000.0</v>
      </c>
      <c r="H329" s="22"/>
      <c r="I329" s="22"/>
      <c r="J329" s="23">
        <f t="shared" si="12"/>
        <v>750000</v>
      </c>
      <c r="K329" s="17" t="s">
        <v>23</v>
      </c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8">
        <v>323.0</v>
      </c>
      <c r="B330" s="43">
        <v>46156.0</v>
      </c>
      <c r="C330" s="30"/>
      <c r="D330" s="21" t="s">
        <v>321</v>
      </c>
      <c r="E330" s="23">
        <v>1600000.0</v>
      </c>
      <c r="F330" s="23">
        <v>480000.0</v>
      </c>
      <c r="G330" s="23">
        <v>100000.0</v>
      </c>
      <c r="H330" s="22"/>
      <c r="I330" s="22"/>
      <c r="J330" s="23">
        <f t="shared" si="12"/>
        <v>1020000</v>
      </c>
      <c r="K330" s="17" t="s">
        <v>23</v>
      </c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8">
        <v>324.0</v>
      </c>
      <c r="B331" s="43">
        <v>46156.0</v>
      </c>
      <c r="C331" s="30"/>
      <c r="D331" s="21" t="s">
        <v>322</v>
      </c>
      <c r="E331" s="23">
        <v>2000000.0</v>
      </c>
      <c r="F331" s="23">
        <v>700000.0</v>
      </c>
      <c r="G331" s="23">
        <v>100000.0</v>
      </c>
      <c r="H331" s="22"/>
      <c r="I331" s="22"/>
      <c r="J331" s="23">
        <f t="shared" si="12"/>
        <v>1200000</v>
      </c>
      <c r="K331" s="17" t="s">
        <v>23</v>
      </c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24">
        <v>325.0</v>
      </c>
      <c r="B332" s="44">
        <v>46157.0</v>
      </c>
      <c r="C332" s="26">
        <v>0.3125</v>
      </c>
      <c r="D332" s="27" t="s">
        <v>323</v>
      </c>
      <c r="E332" s="29">
        <v>2600000.0</v>
      </c>
      <c r="F332" s="29">
        <v>650000.0</v>
      </c>
      <c r="G332" s="29">
        <v>500000.0</v>
      </c>
      <c r="H332" s="28"/>
      <c r="I332" s="28"/>
      <c r="J332" s="29">
        <f t="shared" si="12"/>
        <v>1450000</v>
      </c>
      <c r="K332" s="17" t="s">
        <v>23</v>
      </c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8">
        <v>326.0</v>
      </c>
      <c r="B333" s="43">
        <v>46157.0</v>
      </c>
      <c r="C333" s="30"/>
      <c r="D333" s="21" t="s">
        <v>324</v>
      </c>
      <c r="E333" s="23">
        <v>500000.0</v>
      </c>
      <c r="F333" s="23">
        <v>200000.0</v>
      </c>
      <c r="G333" s="23">
        <v>0.0</v>
      </c>
      <c r="H333" s="22"/>
      <c r="I333" s="22"/>
      <c r="J333" s="23">
        <f t="shared" si="12"/>
        <v>300000</v>
      </c>
      <c r="K333" s="17" t="s">
        <v>23</v>
      </c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8">
        <v>327.0</v>
      </c>
      <c r="B334" s="43">
        <v>46157.0</v>
      </c>
      <c r="C334" s="30"/>
      <c r="D334" s="21" t="s">
        <v>325</v>
      </c>
      <c r="E334" s="23">
        <v>1000000.0</v>
      </c>
      <c r="F334" s="23">
        <v>300000.0</v>
      </c>
      <c r="G334" s="23">
        <v>0.0</v>
      </c>
      <c r="H334" s="22"/>
      <c r="I334" s="22"/>
      <c r="J334" s="23">
        <f t="shared" si="12"/>
        <v>700000</v>
      </c>
      <c r="K334" s="17" t="s">
        <v>23</v>
      </c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8">
        <v>328.0</v>
      </c>
      <c r="B335" s="43">
        <v>46157.0</v>
      </c>
      <c r="C335" s="30"/>
      <c r="D335" s="21" t="s">
        <v>326</v>
      </c>
      <c r="E335" s="23">
        <v>1500000.0</v>
      </c>
      <c r="F335" s="23">
        <v>600000.0</v>
      </c>
      <c r="G335" s="23">
        <v>0.0</v>
      </c>
      <c r="H335" s="22"/>
      <c r="I335" s="22"/>
      <c r="J335" s="23">
        <f t="shared" si="12"/>
        <v>900000</v>
      </c>
      <c r="K335" s="17" t="s">
        <v>23</v>
      </c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24">
        <v>329.0</v>
      </c>
      <c r="B336" s="44">
        <v>46158.0</v>
      </c>
      <c r="C336" s="26">
        <v>0.25</v>
      </c>
      <c r="D336" s="27" t="s">
        <v>327</v>
      </c>
      <c r="E336" s="29">
        <v>2600000.0</v>
      </c>
      <c r="F336" s="29">
        <v>600000.0</v>
      </c>
      <c r="G336" s="29">
        <v>500000.0</v>
      </c>
      <c r="H336" s="28"/>
      <c r="I336" s="28"/>
      <c r="J336" s="29">
        <f t="shared" si="12"/>
        <v>1500000</v>
      </c>
      <c r="K336" s="17" t="s">
        <v>23</v>
      </c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8">
        <v>330.0</v>
      </c>
      <c r="B337" s="43">
        <v>46158.0</v>
      </c>
      <c r="C337" s="20">
        <v>0.4166666666678793</v>
      </c>
      <c r="D337" s="21" t="s">
        <v>328</v>
      </c>
      <c r="E337" s="23">
        <v>2000000.0</v>
      </c>
      <c r="F337" s="23">
        <v>530000.0</v>
      </c>
      <c r="G337" s="23">
        <v>120000.0</v>
      </c>
      <c r="H337" s="22"/>
      <c r="I337" s="22"/>
      <c r="J337" s="23">
        <f t="shared" si="12"/>
        <v>1350000</v>
      </c>
      <c r="K337" s="17" t="s">
        <v>23</v>
      </c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8">
        <v>331.0</v>
      </c>
      <c r="B338" s="43">
        <v>46158.0</v>
      </c>
      <c r="C338" s="20">
        <v>0.9166666666678793</v>
      </c>
      <c r="D338" s="21" t="s">
        <v>329</v>
      </c>
      <c r="E338" s="23">
        <v>1000000.0</v>
      </c>
      <c r="F338" s="23">
        <v>300000.0</v>
      </c>
      <c r="G338" s="23">
        <v>60000.0</v>
      </c>
      <c r="H338" s="22"/>
      <c r="I338" s="22"/>
      <c r="J338" s="23">
        <f t="shared" si="12"/>
        <v>640000</v>
      </c>
      <c r="K338" s="17" t="s">
        <v>23</v>
      </c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8">
        <v>332.0</v>
      </c>
      <c r="B339" s="43">
        <v>46158.0</v>
      </c>
      <c r="C339" s="30"/>
      <c r="D339" s="21" t="s">
        <v>330</v>
      </c>
      <c r="E339" s="23">
        <v>2250000.0</v>
      </c>
      <c r="F339" s="23">
        <v>900000.0</v>
      </c>
      <c r="G339" s="23">
        <v>0.0</v>
      </c>
      <c r="H339" s="22"/>
      <c r="I339" s="22"/>
      <c r="J339" s="23">
        <f t="shared" si="12"/>
        <v>1350000</v>
      </c>
      <c r="K339" s="17" t="s">
        <v>23</v>
      </c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24">
        <v>333.0</v>
      </c>
      <c r="B340" s="44">
        <v>46159.0</v>
      </c>
      <c r="C340" s="26">
        <v>0.2916666666678793</v>
      </c>
      <c r="D340" s="27" t="s">
        <v>331</v>
      </c>
      <c r="E340" s="29">
        <v>500000.0</v>
      </c>
      <c r="F340" s="29">
        <v>200000.0</v>
      </c>
      <c r="G340" s="29">
        <v>0.0</v>
      </c>
      <c r="H340" s="28"/>
      <c r="I340" s="28"/>
      <c r="J340" s="29">
        <f t="shared" si="12"/>
        <v>300000</v>
      </c>
      <c r="K340" s="17" t="s">
        <v>23</v>
      </c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8">
        <v>334.0</v>
      </c>
      <c r="B341" s="43">
        <v>46159.0</v>
      </c>
      <c r="C341" s="20">
        <v>0.3125</v>
      </c>
      <c r="D341" s="21" t="s">
        <v>332</v>
      </c>
      <c r="E341" s="23">
        <v>1000000.0</v>
      </c>
      <c r="F341" s="23">
        <v>300000.0</v>
      </c>
      <c r="G341" s="23">
        <v>0.0</v>
      </c>
      <c r="H341" s="22"/>
      <c r="I341" s="22"/>
      <c r="J341" s="23">
        <f t="shared" si="12"/>
        <v>700000</v>
      </c>
      <c r="K341" s="17" t="s">
        <v>23</v>
      </c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8">
        <v>335.0</v>
      </c>
      <c r="B342" s="43">
        <v>46159.0</v>
      </c>
      <c r="C342" s="20">
        <v>0.3229166666678793</v>
      </c>
      <c r="D342" s="21" t="s">
        <v>333</v>
      </c>
      <c r="E342" s="23">
        <v>600000.0</v>
      </c>
      <c r="F342" s="23">
        <v>300000.0</v>
      </c>
      <c r="G342" s="23">
        <v>0.0</v>
      </c>
      <c r="H342" s="22"/>
      <c r="I342" s="22"/>
      <c r="J342" s="23">
        <f t="shared" si="12"/>
        <v>300000</v>
      </c>
      <c r="K342" s="17" t="s">
        <v>23</v>
      </c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8">
        <v>336.0</v>
      </c>
      <c r="B343" s="43">
        <v>46159.0</v>
      </c>
      <c r="C343" s="20">
        <v>0.3333333333321207</v>
      </c>
      <c r="D343" s="21" t="s">
        <v>334</v>
      </c>
      <c r="E343" s="23">
        <v>500000.0</v>
      </c>
      <c r="F343" s="23">
        <v>200000.0</v>
      </c>
      <c r="G343" s="23">
        <v>0.0</v>
      </c>
      <c r="H343" s="22"/>
      <c r="I343" s="22"/>
      <c r="J343" s="23">
        <f t="shared" si="12"/>
        <v>300000</v>
      </c>
      <c r="K343" s="17" t="s">
        <v>23</v>
      </c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24">
        <v>337.0</v>
      </c>
      <c r="B344" s="44">
        <v>46160.0</v>
      </c>
      <c r="C344" s="26">
        <v>0.3333333333321207</v>
      </c>
      <c r="D344" s="27" t="s">
        <v>335</v>
      </c>
      <c r="E344" s="29">
        <v>1500000.0</v>
      </c>
      <c r="F344" s="29">
        <v>550000.0</v>
      </c>
      <c r="G344" s="29">
        <v>35000.0</v>
      </c>
      <c r="H344" s="28"/>
      <c r="I344" s="28"/>
      <c r="J344" s="29">
        <f t="shared" si="12"/>
        <v>915000</v>
      </c>
      <c r="K344" s="17" t="s">
        <v>23</v>
      </c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8">
        <v>338.0</v>
      </c>
      <c r="B345" s="43">
        <v>46160.0</v>
      </c>
      <c r="C345" s="20">
        <v>0.3541666666678793</v>
      </c>
      <c r="D345" s="21" t="s">
        <v>336</v>
      </c>
      <c r="E345" s="23">
        <v>3000000.0</v>
      </c>
      <c r="F345" s="23">
        <v>1200000.0</v>
      </c>
      <c r="G345" s="23">
        <v>400000.0</v>
      </c>
      <c r="H345" s="22"/>
      <c r="I345" s="22"/>
      <c r="J345" s="23">
        <f t="shared" si="12"/>
        <v>1400000</v>
      </c>
      <c r="K345" s="17" t="s">
        <v>23</v>
      </c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8">
        <v>339.0</v>
      </c>
      <c r="B346" s="43">
        <v>46160.0</v>
      </c>
      <c r="C346" s="20">
        <v>0.375</v>
      </c>
      <c r="D346" s="21" t="s">
        <v>337</v>
      </c>
      <c r="E346" s="23">
        <v>1600000.0</v>
      </c>
      <c r="F346" s="23">
        <v>300000.0</v>
      </c>
      <c r="G346" s="23">
        <v>400000.0</v>
      </c>
      <c r="H346" s="22"/>
      <c r="I346" s="22"/>
      <c r="J346" s="23">
        <f t="shared" si="12"/>
        <v>900000</v>
      </c>
      <c r="K346" s="17" t="s">
        <v>23</v>
      </c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8">
        <v>340.0</v>
      </c>
      <c r="B347" s="43">
        <v>46160.0</v>
      </c>
      <c r="C347" s="30"/>
      <c r="D347" s="21" t="s">
        <v>338</v>
      </c>
      <c r="E347" s="23">
        <v>600000.0</v>
      </c>
      <c r="F347" s="23">
        <v>250000.0</v>
      </c>
      <c r="G347" s="23">
        <v>0.0</v>
      </c>
      <c r="H347" s="22"/>
      <c r="I347" s="22"/>
      <c r="J347" s="23">
        <f t="shared" si="12"/>
        <v>350000</v>
      </c>
      <c r="K347" s="17" t="s">
        <v>23</v>
      </c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8">
        <v>341.0</v>
      </c>
      <c r="B348" s="43">
        <v>46160.0</v>
      </c>
      <c r="C348" s="30"/>
      <c r="D348" s="21" t="s">
        <v>339</v>
      </c>
      <c r="E348" s="23">
        <v>2150000.0</v>
      </c>
      <c r="F348" s="23">
        <v>550000.0</v>
      </c>
      <c r="G348" s="23">
        <v>35000.0</v>
      </c>
      <c r="H348" s="22"/>
      <c r="I348" s="22"/>
      <c r="J348" s="23">
        <f t="shared" si="12"/>
        <v>1565000</v>
      </c>
      <c r="K348" s="17" t="s">
        <v>23</v>
      </c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8">
        <v>342.0</v>
      </c>
      <c r="B349" s="43">
        <v>46160.0</v>
      </c>
      <c r="C349" s="30"/>
      <c r="D349" s="21" t="s">
        <v>340</v>
      </c>
      <c r="E349" s="23">
        <v>1000000.0</v>
      </c>
      <c r="F349" s="23">
        <v>300000.0</v>
      </c>
      <c r="G349" s="23">
        <v>0.0</v>
      </c>
      <c r="H349" s="22"/>
      <c r="I349" s="22"/>
      <c r="J349" s="23">
        <f t="shared" si="12"/>
        <v>700000</v>
      </c>
      <c r="K349" s="17" t="s">
        <v>23</v>
      </c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8">
        <v>343.0</v>
      </c>
      <c r="B350" s="43">
        <v>46160.0</v>
      </c>
      <c r="C350" s="30"/>
      <c r="D350" s="21" t="s">
        <v>341</v>
      </c>
      <c r="E350" s="23">
        <v>1000000.0</v>
      </c>
      <c r="F350" s="23">
        <v>300000.0</v>
      </c>
      <c r="G350" s="23">
        <v>0.0</v>
      </c>
      <c r="H350" s="22"/>
      <c r="I350" s="22"/>
      <c r="J350" s="23">
        <f t="shared" si="12"/>
        <v>700000</v>
      </c>
      <c r="K350" s="17" t="s">
        <v>23</v>
      </c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8">
        <v>344.0</v>
      </c>
      <c r="B351" s="43">
        <v>46160.0</v>
      </c>
      <c r="C351" s="30"/>
      <c r="D351" s="21" t="s">
        <v>342</v>
      </c>
      <c r="E351" s="23">
        <v>1000000.0</v>
      </c>
      <c r="F351" s="23">
        <v>300000.0</v>
      </c>
      <c r="G351" s="23">
        <v>0.0</v>
      </c>
      <c r="H351" s="22"/>
      <c r="I351" s="22"/>
      <c r="J351" s="23">
        <f t="shared" si="12"/>
        <v>700000</v>
      </c>
      <c r="K351" s="17" t="s">
        <v>23</v>
      </c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24">
        <v>345.0</v>
      </c>
      <c r="B352" s="44">
        <v>46161.0</v>
      </c>
      <c r="C352" s="26">
        <v>0.375</v>
      </c>
      <c r="D352" s="27" t="s">
        <v>343</v>
      </c>
      <c r="E352" s="29">
        <v>500000.0</v>
      </c>
      <c r="F352" s="29">
        <v>200000.0</v>
      </c>
      <c r="G352" s="29">
        <v>0.0</v>
      </c>
      <c r="H352" s="28"/>
      <c r="I352" s="28"/>
      <c r="J352" s="29">
        <f t="shared" si="12"/>
        <v>300000</v>
      </c>
      <c r="K352" s="17" t="s">
        <v>23</v>
      </c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8">
        <v>346.0</v>
      </c>
      <c r="B353" s="43">
        <v>46161.0</v>
      </c>
      <c r="C353" s="20">
        <v>0.5416666666678793</v>
      </c>
      <c r="D353" s="21" t="s">
        <v>344</v>
      </c>
      <c r="E353" s="23">
        <v>500000.0</v>
      </c>
      <c r="F353" s="23">
        <v>200000.0</v>
      </c>
      <c r="G353" s="23">
        <v>0.0</v>
      </c>
      <c r="H353" s="22"/>
      <c r="I353" s="22"/>
      <c r="J353" s="23">
        <f t="shared" si="12"/>
        <v>300000</v>
      </c>
      <c r="K353" s="17" t="s">
        <v>23</v>
      </c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8">
        <v>347.0</v>
      </c>
      <c r="B354" s="43">
        <v>46161.0</v>
      </c>
      <c r="C354" s="30"/>
      <c r="D354" s="21" t="s">
        <v>345</v>
      </c>
      <c r="E354" s="23">
        <v>500000.0</v>
      </c>
      <c r="F354" s="23">
        <v>200000.0</v>
      </c>
      <c r="G354" s="23">
        <v>0.0</v>
      </c>
      <c r="H354" s="22"/>
      <c r="I354" s="22"/>
      <c r="J354" s="23">
        <f t="shared" si="12"/>
        <v>300000</v>
      </c>
      <c r="K354" s="17" t="s">
        <v>23</v>
      </c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8">
        <v>348.0</v>
      </c>
      <c r="B355" s="43">
        <v>46161.0</v>
      </c>
      <c r="C355" s="30"/>
      <c r="D355" s="21" t="s">
        <v>346</v>
      </c>
      <c r="E355" s="23">
        <v>500000.0</v>
      </c>
      <c r="F355" s="23">
        <v>250000.0</v>
      </c>
      <c r="G355" s="23">
        <v>0.0</v>
      </c>
      <c r="H355" s="22"/>
      <c r="I355" s="22"/>
      <c r="J355" s="23">
        <f t="shared" si="12"/>
        <v>250000</v>
      </c>
      <c r="K355" s="17" t="s">
        <v>23</v>
      </c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24">
        <v>349.0</v>
      </c>
      <c r="B356" s="44">
        <v>46162.0</v>
      </c>
      <c r="C356" s="31"/>
      <c r="D356" s="27" t="s">
        <v>347</v>
      </c>
      <c r="E356" s="29">
        <v>500000.0</v>
      </c>
      <c r="F356" s="29">
        <v>250000.0</v>
      </c>
      <c r="G356" s="29">
        <v>0.0</v>
      </c>
      <c r="H356" s="28"/>
      <c r="I356" s="28"/>
      <c r="J356" s="29">
        <f t="shared" si="12"/>
        <v>250000</v>
      </c>
      <c r="K356" s="17" t="s">
        <v>23</v>
      </c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8">
        <v>350.0</v>
      </c>
      <c r="B357" s="43">
        <v>46162.0</v>
      </c>
      <c r="C357" s="30"/>
      <c r="D357" s="21" t="s">
        <v>348</v>
      </c>
      <c r="E357" s="23">
        <v>500000.0</v>
      </c>
      <c r="F357" s="23">
        <v>250000.0</v>
      </c>
      <c r="G357" s="23">
        <v>0.0</v>
      </c>
      <c r="H357" s="22"/>
      <c r="I357" s="22"/>
      <c r="J357" s="23">
        <f t="shared" si="12"/>
        <v>250000</v>
      </c>
      <c r="K357" s="17" t="s">
        <v>23</v>
      </c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24">
        <v>351.0</v>
      </c>
      <c r="B358" s="44">
        <v>46163.0</v>
      </c>
      <c r="C358" s="26">
        <v>0.25</v>
      </c>
      <c r="D358" s="27" t="s">
        <v>349</v>
      </c>
      <c r="E358" s="29">
        <v>1500000.0</v>
      </c>
      <c r="F358" s="29">
        <v>600000.0</v>
      </c>
      <c r="G358" s="29">
        <v>0.0</v>
      </c>
      <c r="H358" s="28"/>
      <c r="I358" s="28"/>
      <c r="J358" s="29">
        <f t="shared" si="12"/>
        <v>900000</v>
      </c>
      <c r="K358" s="17" t="s">
        <v>23</v>
      </c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8">
        <v>352.0</v>
      </c>
      <c r="B359" s="43">
        <v>46163.0</v>
      </c>
      <c r="C359" s="20">
        <v>0.26388888889050577</v>
      </c>
      <c r="D359" s="21" t="s">
        <v>350</v>
      </c>
      <c r="E359" s="23">
        <v>500000.0</v>
      </c>
      <c r="F359" s="23">
        <v>200000.0</v>
      </c>
      <c r="G359" s="23">
        <v>0.0</v>
      </c>
      <c r="H359" s="22"/>
      <c r="I359" s="22"/>
      <c r="J359" s="23">
        <f t="shared" si="12"/>
        <v>300000</v>
      </c>
      <c r="K359" s="17" t="s">
        <v>23</v>
      </c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8">
        <v>353.0</v>
      </c>
      <c r="B360" s="43">
        <v>46163.0</v>
      </c>
      <c r="C360" s="20">
        <v>0.28125</v>
      </c>
      <c r="D360" s="21" t="s">
        <v>351</v>
      </c>
      <c r="E360" s="23">
        <v>500000.0</v>
      </c>
      <c r="F360" s="23">
        <v>200000.0</v>
      </c>
      <c r="G360" s="23">
        <v>0.0</v>
      </c>
      <c r="H360" s="22"/>
      <c r="I360" s="22"/>
      <c r="J360" s="23">
        <f t="shared" si="12"/>
        <v>300000</v>
      </c>
      <c r="K360" s="17" t="s">
        <v>23</v>
      </c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8">
        <v>354.0</v>
      </c>
      <c r="B361" s="43">
        <v>46163.0</v>
      </c>
      <c r="C361" s="20">
        <v>0.5416666666678793</v>
      </c>
      <c r="D361" s="21" t="s">
        <v>352</v>
      </c>
      <c r="E361" s="23">
        <v>500000.0</v>
      </c>
      <c r="F361" s="23">
        <v>200000.0</v>
      </c>
      <c r="G361" s="23">
        <v>0.0</v>
      </c>
      <c r="H361" s="22"/>
      <c r="I361" s="22"/>
      <c r="J361" s="23">
        <f t="shared" si="12"/>
        <v>300000</v>
      </c>
      <c r="K361" s="17" t="s">
        <v>23</v>
      </c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8">
        <v>355.0</v>
      </c>
      <c r="B362" s="43">
        <v>46163.0</v>
      </c>
      <c r="C362" s="20">
        <v>0.75</v>
      </c>
      <c r="D362" s="21" t="s">
        <v>353</v>
      </c>
      <c r="E362" s="23">
        <v>500000.0</v>
      </c>
      <c r="F362" s="23">
        <v>250000.0</v>
      </c>
      <c r="G362" s="23">
        <v>0.0</v>
      </c>
      <c r="H362" s="22"/>
      <c r="I362" s="22"/>
      <c r="J362" s="23">
        <f t="shared" si="12"/>
        <v>250000</v>
      </c>
      <c r="K362" s="17" t="s">
        <v>23</v>
      </c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8">
        <v>356.0</v>
      </c>
      <c r="B363" s="43">
        <v>46163.0</v>
      </c>
      <c r="C363" s="30"/>
      <c r="D363" s="21" t="s">
        <v>354</v>
      </c>
      <c r="E363" s="23">
        <v>1000000.0</v>
      </c>
      <c r="F363" s="23">
        <v>260000.0</v>
      </c>
      <c r="G363" s="23">
        <v>450000.0</v>
      </c>
      <c r="H363" s="22"/>
      <c r="I363" s="22"/>
      <c r="J363" s="23">
        <f t="shared" si="12"/>
        <v>290000</v>
      </c>
      <c r="K363" s="17" t="s">
        <v>23</v>
      </c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24">
        <v>357.0</v>
      </c>
      <c r="B364" s="44">
        <v>46164.0</v>
      </c>
      <c r="C364" s="26">
        <v>0.20833333333212067</v>
      </c>
      <c r="D364" s="27" t="s">
        <v>355</v>
      </c>
      <c r="E364" s="29">
        <v>1500000.0</v>
      </c>
      <c r="F364" s="29">
        <v>600000.0</v>
      </c>
      <c r="G364" s="29">
        <v>0.0</v>
      </c>
      <c r="H364" s="28"/>
      <c r="I364" s="28"/>
      <c r="J364" s="29">
        <f t="shared" si="12"/>
        <v>900000</v>
      </c>
      <c r="K364" s="17" t="s">
        <v>23</v>
      </c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8">
        <v>358.0</v>
      </c>
      <c r="B365" s="43">
        <v>46164.0</v>
      </c>
      <c r="C365" s="20">
        <v>0.3541666666678793</v>
      </c>
      <c r="D365" s="21" t="s">
        <v>356</v>
      </c>
      <c r="E365" s="23">
        <v>1000000.0</v>
      </c>
      <c r="F365" s="23">
        <v>300000.0</v>
      </c>
      <c r="G365" s="23">
        <v>0.0</v>
      </c>
      <c r="H365" s="22"/>
      <c r="I365" s="22"/>
      <c r="J365" s="23">
        <f t="shared" si="12"/>
        <v>700000</v>
      </c>
      <c r="K365" s="17" t="s">
        <v>23</v>
      </c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8">
        <v>359.0</v>
      </c>
      <c r="B366" s="43">
        <v>46164.0</v>
      </c>
      <c r="C366" s="20">
        <v>0.375</v>
      </c>
      <c r="D366" s="21" t="s">
        <v>357</v>
      </c>
      <c r="E366" s="23">
        <v>1250000.0</v>
      </c>
      <c r="F366" s="23">
        <v>600000.0</v>
      </c>
      <c r="G366" s="23">
        <v>0.0</v>
      </c>
      <c r="H366" s="22"/>
      <c r="I366" s="22"/>
      <c r="J366" s="23">
        <f t="shared" si="12"/>
        <v>650000</v>
      </c>
      <c r="K366" s="17" t="s">
        <v>23</v>
      </c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8">
        <v>360.0</v>
      </c>
      <c r="B367" s="43">
        <v>46164.0</v>
      </c>
      <c r="C367" s="20">
        <v>0.5833333333321207</v>
      </c>
      <c r="D367" s="21" t="s">
        <v>358</v>
      </c>
      <c r="E367" s="23">
        <v>2600000.0</v>
      </c>
      <c r="F367" s="23">
        <v>700000.0</v>
      </c>
      <c r="G367" s="23">
        <v>600000.0</v>
      </c>
      <c r="H367" s="22"/>
      <c r="I367" s="22"/>
      <c r="J367" s="23">
        <f t="shared" si="12"/>
        <v>1300000</v>
      </c>
      <c r="K367" s="17" t="s">
        <v>23</v>
      </c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8">
        <v>361.0</v>
      </c>
      <c r="B368" s="43">
        <v>46164.0</v>
      </c>
      <c r="C368" s="20">
        <v>0.875</v>
      </c>
      <c r="D368" s="21" t="s">
        <v>359</v>
      </c>
      <c r="E368" s="23">
        <v>2100000.0</v>
      </c>
      <c r="F368" s="23">
        <v>600000.0</v>
      </c>
      <c r="G368" s="23">
        <v>600000.0</v>
      </c>
      <c r="H368" s="22"/>
      <c r="I368" s="22"/>
      <c r="J368" s="23">
        <f t="shared" si="12"/>
        <v>900000</v>
      </c>
      <c r="K368" s="17" t="s">
        <v>23</v>
      </c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8">
        <v>362.0</v>
      </c>
      <c r="B369" s="43">
        <v>46164.0</v>
      </c>
      <c r="C369" s="30"/>
      <c r="D369" s="21" t="s">
        <v>360</v>
      </c>
      <c r="E369" s="23">
        <v>1600000.0</v>
      </c>
      <c r="F369" s="23">
        <v>310000.0</v>
      </c>
      <c r="G369" s="23">
        <v>600000.0</v>
      </c>
      <c r="H369" s="22"/>
      <c r="I369" s="22"/>
      <c r="J369" s="23">
        <f t="shared" si="12"/>
        <v>690000</v>
      </c>
      <c r="K369" s="17" t="s">
        <v>23</v>
      </c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8">
        <v>363.0</v>
      </c>
      <c r="B370" s="43">
        <v>46164.0</v>
      </c>
      <c r="C370" s="30"/>
      <c r="D370" s="21" t="s">
        <v>361</v>
      </c>
      <c r="E370" s="23">
        <v>1250000.0</v>
      </c>
      <c r="F370" s="23">
        <v>600000.0</v>
      </c>
      <c r="G370" s="23">
        <v>120000.0</v>
      </c>
      <c r="H370" s="22"/>
      <c r="I370" s="22"/>
      <c r="J370" s="23">
        <f t="shared" si="12"/>
        <v>530000</v>
      </c>
      <c r="K370" s="17" t="s">
        <v>23</v>
      </c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24">
        <v>364.0</v>
      </c>
      <c r="B371" s="44">
        <v>46165.0</v>
      </c>
      <c r="C371" s="26">
        <v>0.2916666666678793</v>
      </c>
      <c r="D371" s="27" t="s">
        <v>362</v>
      </c>
      <c r="E371" s="29">
        <v>500000.0</v>
      </c>
      <c r="F371" s="29">
        <v>200000.0</v>
      </c>
      <c r="G371" s="29">
        <v>0.0</v>
      </c>
      <c r="H371" s="28"/>
      <c r="I371" s="28"/>
      <c r="J371" s="29">
        <f t="shared" si="12"/>
        <v>300000</v>
      </c>
      <c r="K371" s="17" t="s">
        <v>23</v>
      </c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8">
        <v>365.0</v>
      </c>
      <c r="B372" s="43">
        <v>46165.0</v>
      </c>
      <c r="C372" s="20">
        <v>0.375</v>
      </c>
      <c r="D372" s="21" t="s">
        <v>363</v>
      </c>
      <c r="E372" s="23">
        <v>2500000.0</v>
      </c>
      <c r="F372" s="23">
        <v>880000.0</v>
      </c>
      <c r="G372" s="23">
        <v>90000.0</v>
      </c>
      <c r="H372" s="22"/>
      <c r="I372" s="22"/>
      <c r="J372" s="23">
        <f t="shared" si="12"/>
        <v>1530000</v>
      </c>
      <c r="K372" s="17" t="s">
        <v>23</v>
      </c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8">
        <v>366.0</v>
      </c>
      <c r="B373" s="43">
        <v>46165.0</v>
      </c>
      <c r="C373" s="20">
        <v>0.3958333333321207</v>
      </c>
      <c r="D373" s="21" t="s">
        <v>364</v>
      </c>
      <c r="E373" s="23">
        <v>4000000.0</v>
      </c>
      <c r="F373" s="23">
        <v>1400000.0</v>
      </c>
      <c r="G373" s="23">
        <v>100000.0</v>
      </c>
      <c r="H373" s="22"/>
      <c r="I373" s="22"/>
      <c r="J373" s="23">
        <f t="shared" si="12"/>
        <v>2500000</v>
      </c>
      <c r="K373" s="17" t="s">
        <v>23</v>
      </c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8">
        <v>367.0</v>
      </c>
      <c r="B374" s="43">
        <v>46165.0</v>
      </c>
      <c r="C374" s="20">
        <v>0.5</v>
      </c>
      <c r="D374" s="21" t="s">
        <v>365</v>
      </c>
      <c r="E374" s="23">
        <v>2000000.0</v>
      </c>
      <c r="F374" s="23">
        <v>500000.0</v>
      </c>
      <c r="G374" s="23">
        <v>100000.0</v>
      </c>
      <c r="H374" s="22"/>
      <c r="I374" s="22"/>
      <c r="J374" s="23">
        <f t="shared" si="12"/>
        <v>1400000</v>
      </c>
      <c r="K374" s="17" t="s">
        <v>23</v>
      </c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8">
        <v>368.0</v>
      </c>
      <c r="B375" s="43">
        <v>46165.0</v>
      </c>
      <c r="C375" s="20">
        <v>0.625</v>
      </c>
      <c r="D375" s="21" t="s">
        <v>366</v>
      </c>
      <c r="E375" s="23">
        <v>2250000.0</v>
      </c>
      <c r="F375" s="23">
        <v>900000.0</v>
      </c>
      <c r="G375" s="23">
        <v>0.0</v>
      </c>
      <c r="H375" s="22"/>
      <c r="I375" s="22"/>
      <c r="J375" s="23">
        <f t="shared" si="12"/>
        <v>1350000</v>
      </c>
      <c r="K375" s="17" t="s">
        <v>23</v>
      </c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8">
        <v>369.0</v>
      </c>
      <c r="B376" s="43">
        <v>46165.0</v>
      </c>
      <c r="C376" s="30"/>
      <c r="D376" s="21" t="s">
        <v>367</v>
      </c>
      <c r="E376" s="23">
        <v>650000.0</v>
      </c>
      <c r="F376" s="23">
        <v>250000.0</v>
      </c>
      <c r="G376" s="23">
        <v>0.0</v>
      </c>
      <c r="H376" s="22"/>
      <c r="I376" s="22"/>
      <c r="J376" s="23">
        <f t="shared" si="12"/>
        <v>400000</v>
      </c>
      <c r="K376" s="17" t="s">
        <v>23</v>
      </c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24">
        <v>370.0</v>
      </c>
      <c r="B377" s="44">
        <v>46166.0</v>
      </c>
      <c r="C377" s="26">
        <v>0.4791666666678793</v>
      </c>
      <c r="D377" s="27" t="s">
        <v>368</v>
      </c>
      <c r="E377" s="29">
        <v>500000.0</v>
      </c>
      <c r="F377" s="29">
        <v>200000.0</v>
      </c>
      <c r="G377" s="29">
        <v>50000.0</v>
      </c>
      <c r="H377" s="28"/>
      <c r="I377" s="28"/>
      <c r="J377" s="29">
        <f t="shared" si="12"/>
        <v>250000</v>
      </c>
      <c r="K377" s="17" t="s">
        <v>23</v>
      </c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8">
        <v>371.0</v>
      </c>
      <c r="B378" s="43">
        <v>46166.0</v>
      </c>
      <c r="C378" s="30"/>
      <c r="D378" s="21" t="s">
        <v>369</v>
      </c>
      <c r="E378" s="23">
        <v>1000000.0</v>
      </c>
      <c r="F378" s="23">
        <v>300000.0</v>
      </c>
      <c r="G378" s="23">
        <v>170000.0</v>
      </c>
      <c r="H378" s="22"/>
      <c r="I378" s="22"/>
      <c r="J378" s="23">
        <f t="shared" si="12"/>
        <v>530000</v>
      </c>
      <c r="K378" s="17" t="s">
        <v>23</v>
      </c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24">
        <v>372.0</v>
      </c>
      <c r="B379" s="44">
        <v>46167.0</v>
      </c>
      <c r="C379" s="26">
        <v>0.22916666666787933</v>
      </c>
      <c r="D379" s="27" t="s">
        <v>370</v>
      </c>
      <c r="E379" s="29">
        <v>3500000.0</v>
      </c>
      <c r="F379" s="29">
        <v>1240000.0</v>
      </c>
      <c r="G379" s="29">
        <v>180000.0</v>
      </c>
      <c r="H379" s="28"/>
      <c r="I379" s="28"/>
      <c r="J379" s="29">
        <f t="shared" si="12"/>
        <v>2080000</v>
      </c>
      <c r="K379" s="17" t="s">
        <v>23</v>
      </c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8">
        <v>373.0</v>
      </c>
      <c r="B380" s="43">
        <v>46167.0</v>
      </c>
      <c r="C380" s="20">
        <v>0.25</v>
      </c>
      <c r="D380" s="21" t="s">
        <v>371</v>
      </c>
      <c r="E380" s="23">
        <v>1500000.0</v>
      </c>
      <c r="F380" s="23">
        <v>600000.0</v>
      </c>
      <c r="G380" s="23">
        <v>0.0</v>
      </c>
      <c r="H380" s="22"/>
      <c r="I380" s="22"/>
      <c r="J380" s="23">
        <f t="shared" si="12"/>
        <v>900000</v>
      </c>
      <c r="K380" s="17" t="s">
        <v>23</v>
      </c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8">
        <v>374.0</v>
      </c>
      <c r="B381" s="43">
        <v>46167.0</v>
      </c>
      <c r="C381" s="20">
        <v>0.2916666666678793</v>
      </c>
      <c r="D381" s="21" t="s">
        <v>372</v>
      </c>
      <c r="E381" s="23">
        <v>1250000.0</v>
      </c>
      <c r="F381" s="23">
        <v>500000.0</v>
      </c>
      <c r="G381" s="23">
        <v>46000.0</v>
      </c>
      <c r="H381" s="22"/>
      <c r="I381" s="22"/>
      <c r="J381" s="23">
        <f t="shared" si="12"/>
        <v>704000</v>
      </c>
      <c r="K381" s="17" t="s">
        <v>23</v>
      </c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8">
        <v>375.0</v>
      </c>
      <c r="B382" s="43">
        <v>46167.0</v>
      </c>
      <c r="C382" s="20">
        <v>0.2916666666678793</v>
      </c>
      <c r="D382" s="21" t="s">
        <v>373</v>
      </c>
      <c r="E382" s="23">
        <v>1000000.0</v>
      </c>
      <c r="F382" s="23">
        <v>300000.0</v>
      </c>
      <c r="G382" s="23">
        <v>0.0</v>
      </c>
      <c r="H382" s="22"/>
      <c r="I382" s="22"/>
      <c r="J382" s="23">
        <f t="shared" si="12"/>
        <v>700000</v>
      </c>
      <c r="K382" s="17" t="s">
        <v>23</v>
      </c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24">
        <v>376.0</v>
      </c>
      <c r="B383" s="44">
        <v>46168.0</v>
      </c>
      <c r="C383" s="26">
        <v>0.25</v>
      </c>
      <c r="D383" s="27" t="s">
        <v>374</v>
      </c>
      <c r="E383" s="29">
        <v>500000.0</v>
      </c>
      <c r="F383" s="29">
        <v>200000.0</v>
      </c>
      <c r="G383" s="29">
        <v>0.0</v>
      </c>
      <c r="H383" s="28"/>
      <c r="I383" s="28"/>
      <c r="J383" s="29">
        <f t="shared" si="12"/>
        <v>300000</v>
      </c>
      <c r="K383" s="17" t="s">
        <v>23</v>
      </c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8">
        <v>377.0</v>
      </c>
      <c r="B384" s="43">
        <v>46168.0</v>
      </c>
      <c r="C384" s="20">
        <v>0.2916666666678793</v>
      </c>
      <c r="D384" s="21" t="s">
        <v>375</v>
      </c>
      <c r="E384" s="23">
        <v>500000.0</v>
      </c>
      <c r="F384" s="23">
        <v>200000.0</v>
      </c>
      <c r="G384" s="23">
        <v>0.0</v>
      </c>
      <c r="H384" s="22"/>
      <c r="I384" s="22"/>
      <c r="J384" s="23">
        <f t="shared" si="12"/>
        <v>300000</v>
      </c>
      <c r="K384" s="17" t="s">
        <v>23</v>
      </c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8">
        <v>378.0</v>
      </c>
      <c r="B385" s="43">
        <v>46168.0</v>
      </c>
      <c r="C385" s="20">
        <v>0.3541666666678793</v>
      </c>
      <c r="D385" s="21" t="s">
        <v>376</v>
      </c>
      <c r="E385" s="23">
        <v>1000000.0</v>
      </c>
      <c r="F385" s="23">
        <v>300000.0</v>
      </c>
      <c r="G385" s="23">
        <v>0.0</v>
      </c>
      <c r="H385" s="22"/>
      <c r="I385" s="22"/>
      <c r="J385" s="23">
        <f t="shared" si="12"/>
        <v>700000</v>
      </c>
      <c r="K385" s="17" t="s">
        <v>23</v>
      </c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8">
        <v>379.0</v>
      </c>
      <c r="B386" s="43">
        <v>46168.0</v>
      </c>
      <c r="C386" s="30"/>
      <c r="D386" s="21" t="s">
        <v>377</v>
      </c>
      <c r="E386" s="23">
        <v>1000000.0</v>
      </c>
      <c r="F386" s="23">
        <v>300000.0</v>
      </c>
      <c r="G386" s="23">
        <v>0.0</v>
      </c>
      <c r="H386" s="22"/>
      <c r="I386" s="22"/>
      <c r="J386" s="23">
        <f t="shared" si="12"/>
        <v>700000</v>
      </c>
      <c r="K386" s="17" t="s">
        <v>23</v>
      </c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24">
        <v>380.0</v>
      </c>
      <c r="B387" s="44">
        <v>46169.0</v>
      </c>
      <c r="C387" s="26">
        <v>0.3333333333321207</v>
      </c>
      <c r="D387" s="27" t="s">
        <v>378</v>
      </c>
      <c r="E387" s="29">
        <v>500000.0</v>
      </c>
      <c r="F387" s="29">
        <v>200000.0</v>
      </c>
      <c r="G387" s="29">
        <v>0.0</v>
      </c>
      <c r="H387" s="28"/>
      <c r="I387" s="28"/>
      <c r="J387" s="29">
        <f t="shared" si="12"/>
        <v>300000</v>
      </c>
      <c r="K387" s="17" t="s">
        <v>23</v>
      </c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8">
        <v>381.0</v>
      </c>
      <c r="B388" s="43">
        <v>46169.0</v>
      </c>
      <c r="C388" s="20">
        <v>0.7916666666678793</v>
      </c>
      <c r="D388" s="21" t="s">
        <v>379</v>
      </c>
      <c r="E388" s="23">
        <v>1000000.0</v>
      </c>
      <c r="F388" s="23">
        <v>300000.0</v>
      </c>
      <c r="G388" s="23">
        <v>0.0</v>
      </c>
      <c r="H388" s="22"/>
      <c r="I388" s="22"/>
      <c r="J388" s="23">
        <f t="shared" si="12"/>
        <v>700000</v>
      </c>
      <c r="K388" s="17" t="s">
        <v>23</v>
      </c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8">
        <v>382.0</v>
      </c>
      <c r="B389" s="43">
        <v>46169.0</v>
      </c>
      <c r="C389" s="20">
        <v>0.9375</v>
      </c>
      <c r="D389" s="21" t="s">
        <v>380</v>
      </c>
      <c r="E389" s="23">
        <v>2000000.0</v>
      </c>
      <c r="F389" s="23">
        <v>480000.0</v>
      </c>
      <c r="G389" s="23">
        <v>120000.0</v>
      </c>
      <c r="H389" s="22"/>
      <c r="I389" s="22"/>
      <c r="J389" s="23">
        <f t="shared" si="12"/>
        <v>1400000</v>
      </c>
      <c r="K389" s="17" t="s">
        <v>23</v>
      </c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8">
        <v>383.0</v>
      </c>
      <c r="B390" s="43">
        <v>46169.0</v>
      </c>
      <c r="C390" s="30"/>
      <c r="D390" s="21" t="s">
        <v>381</v>
      </c>
      <c r="E390" s="23">
        <v>700000.0</v>
      </c>
      <c r="F390" s="23">
        <v>300000.0</v>
      </c>
      <c r="G390" s="23">
        <v>0.0</v>
      </c>
      <c r="H390" s="22"/>
      <c r="I390" s="22"/>
      <c r="J390" s="23">
        <f t="shared" si="12"/>
        <v>400000</v>
      </c>
      <c r="K390" s="17" t="s">
        <v>23</v>
      </c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8">
        <v>384.0</v>
      </c>
      <c r="B391" s="43">
        <v>46169.0</v>
      </c>
      <c r="C391" s="30"/>
      <c r="D391" s="21" t="s">
        <v>382</v>
      </c>
      <c r="E391" s="23">
        <v>1000000.0</v>
      </c>
      <c r="F391" s="23">
        <v>270000.0</v>
      </c>
      <c r="G391" s="23">
        <v>105000.0</v>
      </c>
      <c r="H391" s="22"/>
      <c r="I391" s="22"/>
      <c r="J391" s="23">
        <f t="shared" si="12"/>
        <v>625000</v>
      </c>
      <c r="K391" s="17" t="s">
        <v>23</v>
      </c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24">
        <v>385.0</v>
      </c>
      <c r="B392" s="44">
        <v>46170.0</v>
      </c>
      <c r="C392" s="26">
        <v>0.25</v>
      </c>
      <c r="D392" s="27" t="s">
        <v>383</v>
      </c>
      <c r="E392" s="29">
        <v>500000.0</v>
      </c>
      <c r="F392" s="29">
        <v>200000.0</v>
      </c>
      <c r="G392" s="29">
        <v>0.0</v>
      </c>
      <c r="H392" s="28"/>
      <c r="I392" s="28"/>
      <c r="J392" s="29">
        <f t="shared" si="12"/>
        <v>300000</v>
      </c>
      <c r="K392" s="17" t="s">
        <v>23</v>
      </c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8">
        <v>386.0</v>
      </c>
      <c r="B393" s="43">
        <v>46170.0</v>
      </c>
      <c r="C393" s="20">
        <v>0.25</v>
      </c>
      <c r="D393" s="21" t="s">
        <v>384</v>
      </c>
      <c r="E393" s="23">
        <v>1500000.0</v>
      </c>
      <c r="F393" s="23">
        <v>600000.0</v>
      </c>
      <c r="G393" s="23">
        <v>0.0</v>
      </c>
      <c r="H393" s="22"/>
      <c r="I393" s="22"/>
      <c r="J393" s="23">
        <f t="shared" si="12"/>
        <v>900000</v>
      </c>
      <c r="K393" s="17" t="s">
        <v>23</v>
      </c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24">
        <v>387.0</v>
      </c>
      <c r="B394" s="44">
        <v>46171.0</v>
      </c>
      <c r="C394" s="26">
        <v>0.3333333333321207</v>
      </c>
      <c r="D394" s="27" t="s">
        <v>385</v>
      </c>
      <c r="E394" s="29">
        <v>4600000.0</v>
      </c>
      <c r="F394" s="29">
        <v>1770000.0</v>
      </c>
      <c r="G394" s="29">
        <v>500000.0</v>
      </c>
      <c r="H394" s="28"/>
      <c r="I394" s="28"/>
      <c r="J394" s="29">
        <f t="shared" si="12"/>
        <v>2330000</v>
      </c>
      <c r="K394" s="17" t="s">
        <v>23</v>
      </c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8">
        <v>388.0</v>
      </c>
      <c r="B395" s="43">
        <v>46171.0</v>
      </c>
      <c r="C395" s="20">
        <v>0.7916666666678793</v>
      </c>
      <c r="D395" s="21" t="s">
        <v>386</v>
      </c>
      <c r="E395" s="23">
        <v>500000.0</v>
      </c>
      <c r="F395" s="23">
        <v>250000.0</v>
      </c>
      <c r="G395" s="23">
        <v>0.0</v>
      </c>
      <c r="H395" s="22"/>
      <c r="I395" s="22"/>
      <c r="J395" s="23">
        <f t="shared" si="12"/>
        <v>250000</v>
      </c>
      <c r="K395" s="17" t="s">
        <v>23</v>
      </c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8">
        <v>389.0</v>
      </c>
      <c r="B396" s="43">
        <v>46171.0</v>
      </c>
      <c r="C396" s="30"/>
      <c r="D396" s="21" t="s">
        <v>387</v>
      </c>
      <c r="E396" s="23">
        <v>1500000.0</v>
      </c>
      <c r="F396" s="23">
        <v>470000.0</v>
      </c>
      <c r="G396" s="23">
        <v>100000.0</v>
      </c>
      <c r="H396" s="22"/>
      <c r="I396" s="22"/>
      <c r="J396" s="23">
        <f t="shared" si="12"/>
        <v>930000</v>
      </c>
      <c r="K396" s="17" t="s">
        <v>23</v>
      </c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8">
        <v>390.0</v>
      </c>
      <c r="B397" s="43">
        <v>46171.0</v>
      </c>
      <c r="C397" s="30"/>
      <c r="D397" s="21" t="s">
        <v>388</v>
      </c>
      <c r="E397" s="23">
        <v>650000.0</v>
      </c>
      <c r="F397" s="23">
        <v>240000.0</v>
      </c>
      <c r="G397" s="23">
        <v>100000.0</v>
      </c>
      <c r="H397" s="22"/>
      <c r="I397" s="22"/>
      <c r="J397" s="23">
        <f t="shared" si="12"/>
        <v>310000</v>
      </c>
      <c r="K397" s="17" t="s">
        <v>23</v>
      </c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8">
        <v>391.0</v>
      </c>
      <c r="B398" s="43">
        <v>46171.0</v>
      </c>
      <c r="C398" s="30"/>
      <c r="D398" s="21" t="s">
        <v>389</v>
      </c>
      <c r="E398" s="23">
        <v>3000000.0</v>
      </c>
      <c r="F398" s="23">
        <v>1400000.0</v>
      </c>
      <c r="G398" s="23">
        <v>100000.0</v>
      </c>
      <c r="H398" s="22"/>
      <c r="I398" s="22"/>
      <c r="J398" s="23">
        <f t="shared" si="12"/>
        <v>1500000</v>
      </c>
      <c r="K398" s="17" t="s">
        <v>23</v>
      </c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8">
        <v>392.0</v>
      </c>
      <c r="B399" s="43">
        <v>46171.0</v>
      </c>
      <c r="C399" s="30"/>
      <c r="D399" s="21" t="s">
        <v>390</v>
      </c>
      <c r="E399" s="23">
        <v>1000000.0</v>
      </c>
      <c r="F399" s="23">
        <v>300000.0</v>
      </c>
      <c r="G399" s="23">
        <v>0.0</v>
      </c>
      <c r="H399" s="22"/>
      <c r="I399" s="22"/>
      <c r="J399" s="23">
        <f t="shared" si="12"/>
        <v>700000</v>
      </c>
      <c r="K399" s="17" t="s">
        <v>23</v>
      </c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24">
        <v>393.0</v>
      </c>
      <c r="B400" s="44">
        <v>46172.0</v>
      </c>
      <c r="C400" s="26">
        <v>0.25</v>
      </c>
      <c r="D400" s="27" t="s">
        <v>391</v>
      </c>
      <c r="E400" s="29">
        <v>1250000.0</v>
      </c>
      <c r="F400" s="29">
        <v>600000.0</v>
      </c>
      <c r="G400" s="29">
        <v>100000.0</v>
      </c>
      <c r="H400" s="28"/>
      <c r="I400" s="28"/>
      <c r="J400" s="29">
        <f t="shared" si="12"/>
        <v>550000</v>
      </c>
      <c r="K400" s="17" t="s">
        <v>23</v>
      </c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8">
        <v>394.0</v>
      </c>
      <c r="B401" s="43">
        <v>46172.0</v>
      </c>
      <c r="C401" s="20">
        <v>0.2916666666678793</v>
      </c>
      <c r="D401" s="21" t="s">
        <v>392</v>
      </c>
      <c r="E401" s="23">
        <v>2000000.0</v>
      </c>
      <c r="F401" s="23">
        <v>800000.0</v>
      </c>
      <c r="G401" s="23">
        <v>0.0</v>
      </c>
      <c r="H401" s="22"/>
      <c r="I401" s="22"/>
      <c r="J401" s="23">
        <f t="shared" si="12"/>
        <v>1200000</v>
      </c>
      <c r="K401" s="17" t="s">
        <v>23</v>
      </c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8">
        <v>395.0</v>
      </c>
      <c r="B402" s="43">
        <v>46172.0</v>
      </c>
      <c r="C402" s="20">
        <v>0.3541666666678793</v>
      </c>
      <c r="D402" s="21" t="s">
        <v>393</v>
      </c>
      <c r="E402" s="23">
        <v>1000000.0</v>
      </c>
      <c r="F402" s="23">
        <v>300000.0</v>
      </c>
      <c r="G402" s="23">
        <v>100000.0</v>
      </c>
      <c r="H402" s="22"/>
      <c r="I402" s="22"/>
      <c r="J402" s="23">
        <f t="shared" si="12"/>
        <v>600000</v>
      </c>
      <c r="K402" s="17" t="s">
        <v>23</v>
      </c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8">
        <v>396.0</v>
      </c>
      <c r="B403" s="43">
        <v>46172.0</v>
      </c>
      <c r="C403" s="20">
        <v>0.375</v>
      </c>
      <c r="D403" s="21" t="s">
        <v>394</v>
      </c>
      <c r="E403" s="23">
        <v>3500000.0</v>
      </c>
      <c r="F403" s="23">
        <v>1140000.0</v>
      </c>
      <c r="G403" s="23">
        <v>100000.0</v>
      </c>
      <c r="H403" s="22"/>
      <c r="I403" s="22"/>
      <c r="J403" s="23">
        <f t="shared" si="12"/>
        <v>2260000</v>
      </c>
      <c r="K403" s="17" t="s">
        <v>23</v>
      </c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8">
        <v>397.0</v>
      </c>
      <c r="B404" s="43">
        <v>46172.0</v>
      </c>
      <c r="C404" s="20">
        <v>0.4166666666678793</v>
      </c>
      <c r="D404" s="21" t="s">
        <v>395</v>
      </c>
      <c r="E404" s="23">
        <v>1500000.0</v>
      </c>
      <c r="F404" s="23">
        <v>700000.0</v>
      </c>
      <c r="G404" s="23">
        <v>100000.0</v>
      </c>
      <c r="H404" s="22"/>
      <c r="I404" s="22"/>
      <c r="J404" s="23">
        <f t="shared" si="12"/>
        <v>700000</v>
      </c>
      <c r="K404" s="17" t="s">
        <v>23</v>
      </c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8">
        <v>398.0</v>
      </c>
      <c r="B405" s="43">
        <v>46172.0</v>
      </c>
      <c r="C405" s="20">
        <v>0.875</v>
      </c>
      <c r="D405" s="21" t="s">
        <v>396</v>
      </c>
      <c r="E405" s="23">
        <v>1000000.0</v>
      </c>
      <c r="F405" s="23">
        <v>270000.0</v>
      </c>
      <c r="G405" s="23">
        <v>120000.0</v>
      </c>
      <c r="H405" s="22"/>
      <c r="I405" s="22"/>
      <c r="J405" s="23">
        <f t="shared" si="12"/>
        <v>610000</v>
      </c>
      <c r="K405" s="17" t="s">
        <v>23</v>
      </c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8">
        <v>399.0</v>
      </c>
      <c r="B406" s="43">
        <v>46172.0</v>
      </c>
      <c r="C406" s="30"/>
      <c r="D406" s="21" t="s">
        <v>397</v>
      </c>
      <c r="E406" s="23">
        <v>650000.0</v>
      </c>
      <c r="F406" s="23">
        <v>250000.0</v>
      </c>
      <c r="G406" s="23">
        <v>0.0</v>
      </c>
      <c r="H406" s="22"/>
      <c r="I406" s="22"/>
      <c r="J406" s="23">
        <f t="shared" si="12"/>
        <v>400000</v>
      </c>
      <c r="K406" s="17" t="s">
        <v>23</v>
      </c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8">
        <v>400.0</v>
      </c>
      <c r="B407" s="43">
        <v>46172.0</v>
      </c>
      <c r="C407" s="30"/>
      <c r="D407" s="21" t="s">
        <v>398</v>
      </c>
      <c r="E407" s="23">
        <v>2000000.0</v>
      </c>
      <c r="F407" s="23">
        <v>800000.0</v>
      </c>
      <c r="G407" s="23">
        <v>100000.0</v>
      </c>
      <c r="H407" s="22"/>
      <c r="I407" s="22"/>
      <c r="J407" s="23">
        <f t="shared" si="12"/>
        <v>1100000</v>
      </c>
      <c r="K407" s="17" t="s">
        <v>23</v>
      </c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8">
        <v>401.0</v>
      </c>
      <c r="B408" s="43">
        <v>46172.0</v>
      </c>
      <c r="C408" s="30"/>
      <c r="D408" s="21" t="s">
        <v>399</v>
      </c>
      <c r="E408" s="23">
        <v>1500000.0</v>
      </c>
      <c r="F408" s="23">
        <v>700000.0</v>
      </c>
      <c r="G408" s="23">
        <v>150000.0</v>
      </c>
      <c r="H408" s="22"/>
      <c r="I408" s="22"/>
      <c r="J408" s="23">
        <f t="shared" si="12"/>
        <v>650000</v>
      </c>
      <c r="K408" s="17" t="s">
        <v>23</v>
      </c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24">
        <v>402.0</v>
      </c>
      <c r="B409" s="44">
        <v>46173.0</v>
      </c>
      <c r="C409" s="26">
        <v>0.2916666666678793</v>
      </c>
      <c r="D409" s="27" t="s">
        <v>400</v>
      </c>
      <c r="E409" s="29">
        <v>650000.0</v>
      </c>
      <c r="F409" s="29">
        <v>250000.0</v>
      </c>
      <c r="G409" s="29">
        <v>0.0</v>
      </c>
      <c r="H409" s="28"/>
      <c r="I409" s="28"/>
      <c r="J409" s="29">
        <f t="shared" si="12"/>
        <v>400000</v>
      </c>
      <c r="K409" s="17" t="s">
        <v>23</v>
      </c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8">
        <v>403.0</v>
      </c>
      <c r="B410" s="43">
        <v>46173.0</v>
      </c>
      <c r="C410" s="20">
        <v>0.2916666666678793</v>
      </c>
      <c r="D410" s="21" t="s">
        <v>401</v>
      </c>
      <c r="E410" s="23">
        <v>1000000.0</v>
      </c>
      <c r="F410" s="23">
        <v>300000.0</v>
      </c>
      <c r="G410" s="23">
        <v>0.0</v>
      </c>
      <c r="H410" s="22"/>
      <c r="I410" s="22"/>
      <c r="J410" s="23">
        <f t="shared" si="12"/>
        <v>700000</v>
      </c>
      <c r="K410" s="17" t="s">
        <v>23</v>
      </c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8">
        <v>404.0</v>
      </c>
      <c r="B411" s="43">
        <v>46173.0</v>
      </c>
      <c r="C411" s="20">
        <v>0.375</v>
      </c>
      <c r="D411" s="21" t="s">
        <v>402</v>
      </c>
      <c r="E411" s="23">
        <v>1600000.0</v>
      </c>
      <c r="F411" s="23">
        <v>300000.0</v>
      </c>
      <c r="G411" s="23">
        <v>0.0</v>
      </c>
      <c r="H411" s="22"/>
      <c r="I411" s="22"/>
      <c r="J411" s="23">
        <f t="shared" si="12"/>
        <v>1300000</v>
      </c>
      <c r="K411" s="17" t="s">
        <v>23</v>
      </c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8">
        <v>405.0</v>
      </c>
      <c r="B412" s="43">
        <v>46173.0</v>
      </c>
      <c r="C412" s="30"/>
      <c r="D412" s="21" t="s">
        <v>403</v>
      </c>
      <c r="E412" s="23">
        <v>4000000.0</v>
      </c>
      <c r="F412" s="23">
        <v>1700000.0</v>
      </c>
      <c r="G412" s="23">
        <v>500000.0</v>
      </c>
      <c r="H412" s="22"/>
      <c r="I412" s="22"/>
      <c r="J412" s="23">
        <f t="shared" si="12"/>
        <v>1800000</v>
      </c>
      <c r="K412" s="17" t="s">
        <v>23</v>
      </c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8">
        <v>406.0</v>
      </c>
      <c r="B413" s="43">
        <v>46173.0</v>
      </c>
      <c r="C413" s="30"/>
      <c r="D413" s="21" t="s">
        <v>404</v>
      </c>
      <c r="E413" s="23">
        <v>500000.0</v>
      </c>
      <c r="F413" s="23">
        <v>200000.0</v>
      </c>
      <c r="G413" s="23">
        <v>170000.0</v>
      </c>
      <c r="H413" s="22"/>
      <c r="I413" s="22"/>
      <c r="J413" s="23">
        <f t="shared" si="12"/>
        <v>130000</v>
      </c>
      <c r="K413" s="17" t="s">
        <v>23</v>
      </c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8">
        <v>407.0</v>
      </c>
      <c r="B414" s="43">
        <v>46173.0</v>
      </c>
      <c r="C414" s="30"/>
      <c r="D414" s="21" t="s">
        <v>405</v>
      </c>
      <c r="E414" s="23">
        <v>1000000.0</v>
      </c>
      <c r="F414" s="23">
        <v>300000.0</v>
      </c>
      <c r="G414" s="23">
        <v>150000.0</v>
      </c>
      <c r="H414" s="22"/>
      <c r="I414" s="22"/>
      <c r="J414" s="23">
        <f t="shared" si="12"/>
        <v>550000</v>
      </c>
      <c r="K414" s="17" t="s">
        <v>23</v>
      </c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8">
        <v>408.0</v>
      </c>
      <c r="B415" s="43">
        <v>46173.0</v>
      </c>
      <c r="C415" s="30"/>
      <c r="D415" s="21" t="s">
        <v>406</v>
      </c>
      <c r="E415" s="23">
        <v>1250000.0</v>
      </c>
      <c r="F415" s="23">
        <v>600000.0</v>
      </c>
      <c r="G415" s="23">
        <v>0.0</v>
      </c>
      <c r="H415" s="23">
        <v>1.02E7</v>
      </c>
      <c r="I415" s="22"/>
      <c r="J415" s="23">
        <f t="shared" si="12"/>
        <v>-9550000</v>
      </c>
      <c r="K415" s="17" t="s">
        <v>23</v>
      </c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5" t="s">
        <v>25</v>
      </c>
      <c r="B416" s="6"/>
      <c r="C416" s="6"/>
      <c r="D416" s="6"/>
      <c r="E416" s="6"/>
      <c r="F416" s="6"/>
      <c r="G416" s="6"/>
      <c r="H416" s="6"/>
      <c r="I416" s="6"/>
      <c r="J416" s="7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24">
        <v>409.0</v>
      </c>
      <c r="B417" s="44">
        <v>46174.0</v>
      </c>
      <c r="C417" s="31"/>
      <c r="D417" s="27" t="s">
        <v>407</v>
      </c>
      <c r="E417" s="28"/>
      <c r="F417" s="28"/>
      <c r="G417" s="28"/>
      <c r="H417" s="28"/>
      <c r="I417" s="28"/>
      <c r="J417" s="29">
        <f t="shared" ref="J417:J440" si="13">N(E417)-N(F417)-N(G417)-N(H417)-N(I417)</f>
        <v>0</v>
      </c>
      <c r="K417" s="17" t="s">
        <v>25</v>
      </c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8">
        <v>410.0</v>
      </c>
      <c r="B418" s="43">
        <v>46174.0</v>
      </c>
      <c r="C418" s="30"/>
      <c r="D418" s="21" t="s">
        <v>408</v>
      </c>
      <c r="E418" s="22"/>
      <c r="F418" s="22"/>
      <c r="G418" s="22"/>
      <c r="H418" s="22"/>
      <c r="I418" s="22"/>
      <c r="J418" s="23">
        <f t="shared" si="13"/>
        <v>0</v>
      </c>
      <c r="K418" s="17" t="s">
        <v>25</v>
      </c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8">
        <v>411.0</v>
      </c>
      <c r="B419" s="43">
        <v>46174.0</v>
      </c>
      <c r="C419" s="30"/>
      <c r="D419" s="21" t="s">
        <v>409</v>
      </c>
      <c r="E419" s="22"/>
      <c r="F419" s="22"/>
      <c r="G419" s="22"/>
      <c r="H419" s="22"/>
      <c r="I419" s="22"/>
      <c r="J419" s="23">
        <f t="shared" si="13"/>
        <v>0</v>
      </c>
      <c r="K419" s="17" t="s">
        <v>25</v>
      </c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24">
        <v>412.0</v>
      </c>
      <c r="B420" s="44">
        <v>46175.0</v>
      </c>
      <c r="C420" s="26">
        <v>0.25</v>
      </c>
      <c r="D420" s="27" t="s">
        <v>410</v>
      </c>
      <c r="E420" s="28"/>
      <c r="F420" s="28"/>
      <c r="G420" s="28"/>
      <c r="H420" s="28"/>
      <c r="I420" s="28"/>
      <c r="J420" s="29">
        <f t="shared" si="13"/>
        <v>0</v>
      </c>
      <c r="K420" s="17" t="s">
        <v>25</v>
      </c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8">
        <v>413.0</v>
      </c>
      <c r="B421" s="43">
        <v>46175.0</v>
      </c>
      <c r="C421" s="20">
        <v>0.3333333333321207</v>
      </c>
      <c r="D421" s="21" t="s">
        <v>411</v>
      </c>
      <c r="E421" s="22"/>
      <c r="F421" s="22"/>
      <c r="G421" s="22"/>
      <c r="H421" s="22"/>
      <c r="I421" s="22"/>
      <c r="J421" s="23">
        <f t="shared" si="13"/>
        <v>0</v>
      </c>
      <c r="K421" s="17" t="s">
        <v>25</v>
      </c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8">
        <v>414.0</v>
      </c>
      <c r="B422" s="43">
        <v>46175.0</v>
      </c>
      <c r="C422" s="20">
        <v>0.3333333333321207</v>
      </c>
      <c r="D422" s="21" t="s">
        <v>412</v>
      </c>
      <c r="E422" s="22"/>
      <c r="F422" s="22"/>
      <c r="G422" s="22"/>
      <c r="H422" s="22"/>
      <c r="I422" s="22"/>
      <c r="J422" s="23">
        <f t="shared" si="13"/>
        <v>0</v>
      </c>
      <c r="K422" s="17" t="s">
        <v>25</v>
      </c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8">
        <v>415.0</v>
      </c>
      <c r="B423" s="43">
        <v>46175.0</v>
      </c>
      <c r="C423" s="20">
        <v>0.375</v>
      </c>
      <c r="D423" s="21" t="s">
        <v>413</v>
      </c>
      <c r="E423" s="22"/>
      <c r="F423" s="22"/>
      <c r="G423" s="22"/>
      <c r="H423" s="22"/>
      <c r="I423" s="22"/>
      <c r="J423" s="23">
        <f t="shared" si="13"/>
        <v>0</v>
      </c>
      <c r="K423" s="17" t="s">
        <v>25</v>
      </c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8">
        <v>416.0</v>
      </c>
      <c r="B424" s="43">
        <v>46175.0</v>
      </c>
      <c r="C424" s="20">
        <v>0.5</v>
      </c>
      <c r="D424" s="21" t="s">
        <v>414</v>
      </c>
      <c r="E424" s="22"/>
      <c r="F424" s="22"/>
      <c r="G424" s="22"/>
      <c r="H424" s="22"/>
      <c r="I424" s="22"/>
      <c r="J424" s="23">
        <f t="shared" si="13"/>
        <v>0</v>
      </c>
      <c r="K424" s="17" t="s">
        <v>25</v>
      </c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8">
        <v>417.0</v>
      </c>
      <c r="B425" s="43">
        <v>46175.0</v>
      </c>
      <c r="C425" s="20">
        <v>0.875</v>
      </c>
      <c r="D425" s="21" t="s">
        <v>415</v>
      </c>
      <c r="E425" s="22"/>
      <c r="F425" s="22"/>
      <c r="G425" s="22"/>
      <c r="H425" s="22"/>
      <c r="I425" s="22"/>
      <c r="J425" s="23">
        <f t="shared" si="13"/>
        <v>0</v>
      </c>
      <c r="K425" s="17" t="s">
        <v>25</v>
      </c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24">
        <v>418.0</v>
      </c>
      <c r="B426" s="44">
        <v>46176.0</v>
      </c>
      <c r="C426" s="26">
        <v>0.2708333333321207</v>
      </c>
      <c r="D426" s="27" t="s">
        <v>416</v>
      </c>
      <c r="E426" s="28"/>
      <c r="F426" s="28"/>
      <c r="G426" s="28"/>
      <c r="H426" s="28"/>
      <c r="I426" s="28"/>
      <c r="J426" s="29">
        <f t="shared" si="13"/>
        <v>0</v>
      </c>
      <c r="K426" s="17" t="s">
        <v>25</v>
      </c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8">
        <v>419.0</v>
      </c>
      <c r="B427" s="43">
        <v>46176.0</v>
      </c>
      <c r="C427" s="20">
        <v>0.2708333333321207</v>
      </c>
      <c r="D427" s="21" t="s">
        <v>417</v>
      </c>
      <c r="E427" s="22"/>
      <c r="F427" s="22"/>
      <c r="G427" s="22"/>
      <c r="H427" s="22"/>
      <c r="I427" s="22"/>
      <c r="J427" s="23">
        <f t="shared" si="13"/>
        <v>0</v>
      </c>
      <c r="K427" s="17" t="s">
        <v>25</v>
      </c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8">
        <v>420.0</v>
      </c>
      <c r="B428" s="43">
        <v>46176.0</v>
      </c>
      <c r="C428" s="20">
        <v>0.4166666666678793</v>
      </c>
      <c r="D428" s="21" t="s">
        <v>418</v>
      </c>
      <c r="E428" s="22"/>
      <c r="F428" s="22"/>
      <c r="G428" s="22"/>
      <c r="H428" s="22"/>
      <c r="I428" s="22"/>
      <c r="J428" s="23">
        <f t="shared" si="13"/>
        <v>0</v>
      </c>
      <c r="K428" s="17" t="s">
        <v>25</v>
      </c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8">
        <v>421.0</v>
      </c>
      <c r="B429" s="43">
        <v>46176.0</v>
      </c>
      <c r="C429" s="20">
        <v>0.7916666666678793</v>
      </c>
      <c r="D429" s="21" t="s">
        <v>419</v>
      </c>
      <c r="E429" s="22"/>
      <c r="F429" s="22"/>
      <c r="G429" s="22"/>
      <c r="H429" s="22"/>
      <c r="I429" s="22"/>
      <c r="J429" s="23">
        <f t="shared" si="13"/>
        <v>0</v>
      </c>
      <c r="K429" s="17" t="s">
        <v>25</v>
      </c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24">
        <v>422.0</v>
      </c>
      <c r="B430" s="44">
        <v>46177.0</v>
      </c>
      <c r="C430" s="26">
        <v>0.2708333333321207</v>
      </c>
      <c r="D430" s="27" t="s">
        <v>420</v>
      </c>
      <c r="E430" s="28"/>
      <c r="F430" s="28"/>
      <c r="G430" s="28"/>
      <c r="H430" s="28"/>
      <c r="I430" s="28"/>
      <c r="J430" s="29">
        <f t="shared" si="13"/>
        <v>0</v>
      </c>
      <c r="K430" s="17" t="s">
        <v>25</v>
      </c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8">
        <v>423.0</v>
      </c>
      <c r="B431" s="43">
        <v>46177.0</v>
      </c>
      <c r="C431" s="20">
        <v>0.3125</v>
      </c>
      <c r="D431" s="21" t="s">
        <v>421</v>
      </c>
      <c r="E431" s="22"/>
      <c r="F431" s="22"/>
      <c r="G431" s="22"/>
      <c r="H431" s="22"/>
      <c r="I431" s="22"/>
      <c r="J431" s="23">
        <f t="shared" si="13"/>
        <v>0</v>
      </c>
      <c r="K431" s="17" t="s">
        <v>25</v>
      </c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8">
        <v>424.0</v>
      </c>
      <c r="B432" s="43">
        <v>46177.0</v>
      </c>
      <c r="C432" s="20">
        <v>0.3125</v>
      </c>
      <c r="D432" s="21" t="s">
        <v>422</v>
      </c>
      <c r="E432" s="22"/>
      <c r="F432" s="22"/>
      <c r="G432" s="22"/>
      <c r="H432" s="22"/>
      <c r="I432" s="22"/>
      <c r="J432" s="23">
        <f t="shared" si="13"/>
        <v>0</v>
      </c>
      <c r="K432" s="17" t="s">
        <v>25</v>
      </c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8">
        <v>425.0</v>
      </c>
      <c r="B433" s="43">
        <v>46177.0</v>
      </c>
      <c r="C433" s="20">
        <v>0.3541666666678793</v>
      </c>
      <c r="D433" s="21" t="s">
        <v>423</v>
      </c>
      <c r="E433" s="22"/>
      <c r="F433" s="22"/>
      <c r="G433" s="22"/>
      <c r="H433" s="22"/>
      <c r="I433" s="22"/>
      <c r="J433" s="23">
        <f t="shared" si="13"/>
        <v>0</v>
      </c>
      <c r="K433" s="17" t="s">
        <v>25</v>
      </c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8">
        <v>426.0</v>
      </c>
      <c r="B434" s="43">
        <v>46177.0</v>
      </c>
      <c r="C434" s="20">
        <v>0.5</v>
      </c>
      <c r="D434" s="21" t="s">
        <v>424</v>
      </c>
      <c r="E434" s="22"/>
      <c r="F434" s="22"/>
      <c r="G434" s="22"/>
      <c r="H434" s="22"/>
      <c r="I434" s="22"/>
      <c r="J434" s="23">
        <f t="shared" si="13"/>
        <v>0</v>
      </c>
      <c r="K434" s="17" t="s">
        <v>25</v>
      </c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27">
        <v>427.0</v>
      </c>
      <c r="B435" s="44">
        <v>46178.0</v>
      </c>
      <c r="C435" s="26">
        <v>0.3125</v>
      </c>
      <c r="D435" s="27" t="s">
        <v>425</v>
      </c>
      <c r="E435" s="28"/>
      <c r="F435" s="28"/>
      <c r="G435" s="28"/>
      <c r="H435" s="28"/>
      <c r="I435" s="28"/>
      <c r="J435" s="29">
        <f t="shared" si="13"/>
        <v>0</v>
      </c>
      <c r="K435" s="17" t="s">
        <v>25</v>
      </c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51">
        <v>428.0</v>
      </c>
      <c r="B436" s="52">
        <v>46178.0</v>
      </c>
      <c r="C436" s="53">
        <v>0.3333333333321207</v>
      </c>
      <c r="D436" s="54" t="s">
        <v>426</v>
      </c>
      <c r="E436" s="55"/>
      <c r="F436" s="55"/>
      <c r="G436" s="55"/>
      <c r="H436" s="55"/>
      <c r="I436" s="55"/>
      <c r="J436" s="51">
        <f t="shared" si="13"/>
        <v>0</v>
      </c>
      <c r="K436" s="17" t="s">
        <v>25</v>
      </c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54">
        <v>429.0</v>
      </c>
      <c r="B437" s="52">
        <v>46178.0</v>
      </c>
      <c r="C437" s="53">
        <v>0.375</v>
      </c>
      <c r="D437" s="54" t="s">
        <v>427</v>
      </c>
      <c r="E437" s="55"/>
      <c r="F437" s="55"/>
      <c r="G437" s="55"/>
      <c r="H437" s="55"/>
      <c r="I437" s="55"/>
      <c r="J437" s="51">
        <f t="shared" si="13"/>
        <v>0</v>
      </c>
      <c r="K437" s="17" t="s">
        <v>25</v>
      </c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54">
        <v>430.0</v>
      </c>
      <c r="B438" s="52">
        <v>46178.0</v>
      </c>
      <c r="C438" s="53">
        <v>0.4166666666678793</v>
      </c>
      <c r="D438" s="54" t="s">
        <v>428</v>
      </c>
      <c r="E438" s="55"/>
      <c r="F438" s="55"/>
      <c r="G438" s="55"/>
      <c r="H438" s="55"/>
      <c r="I438" s="55"/>
      <c r="J438" s="51">
        <f t="shared" si="13"/>
        <v>0</v>
      </c>
      <c r="K438" s="17" t="s">
        <v>25</v>
      </c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51">
        <v>431.0</v>
      </c>
      <c r="B439" s="52">
        <v>46178.0</v>
      </c>
      <c r="C439" s="53">
        <v>0.4270833333321207</v>
      </c>
      <c r="D439" s="54" t="s">
        <v>429</v>
      </c>
      <c r="E439" s="55"/>
      <c r="F439" s="55"/>
      <c r="G439" s="55"/>
      <c r="H439" s="55"/>
      <c r="I439" s="55"/>
      <c r="J439" s="51">
        <f t="shared" si="13"/>
        <v>0</v>
      </c>
      <c r="K439" s="17" t="s">
        <v>25</v>
      </c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56">
        <v>432.0</v>
      </c>
      <c r="B440" s="57">
        <v>46178.0</v>
      </c>
      <c r="C440" s="58">
        <v>0.625</v>
      </c>
      <c r="D440" s="17" t="s">
        <v>430</v>
      </c>
      <c r="E440" s="3"/>
      <c r="F440" s="3"/>
      <c r="G440" s="3"/>
      <c r="H440" s="3"/>
      <c r="I440" s="3"/>
      <c r="J440" s="56">
        <f t="shared" si="13"/>
        <v>0</v>
      </c>
      <c r="K440" s="17" t="s">
        <v>25</v>
      </c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mergeCells count="7">
    <mergeCell ref="A2:J2"/>
    <mergeCell ref="A14:J14"/>
    <mergeCell ref="A53:J53"/>
    <mergeCell ref="A112:J112"/>
    <mergeCell ref="A197:J197"/>
    <mergeCell ref="A308:J308"/>
    <mergeCell ref="A416:J416"/>
  </mergeCells>
  <printOptions/>
  <pageMargins bottom="1.0" footer="0.0" header="0.0" left="0.75" right="0.75" top="1.0"/>
  <pageSetup orientation="landscape"/>
  <drawing r:id="rId1"/>
</worksheet>
</file>