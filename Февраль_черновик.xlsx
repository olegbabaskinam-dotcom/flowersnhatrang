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евра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Дата</t>
        </is>
      </c>
      <c r="C1" t="inlineStr">
        <is>
          <t>Что заказали</t>
        </is>
      </c>
      <c r="D1" t="inlineStr">
        <is>
          <t>Цена продажи</t>
        </is>
      </c>
      <c r="E1" t="inlineStr">
        <is>
          <t>Себестоимость</t>
        </is>
      </c>
      <c r="F1" t="inlineStr">
        <is>
          <t>Такси</t>
        </is>
      </c>
      <c r="G1" t="inlineStr">
        <is>
          <t>Чистая</t>
        </is>
      </c>
    </row>
    <row r="2">
      <c r="A2" t="n">
        <v>50</v>
      </c>
      <c r="B2" t="inlineStr">
        <is>
          <t>01.02</t>
        </is>
      </c>
      <c r="C2" t="inlineStr">
        <is>
          <t>25 роз розовых + пирожное (Марк)</t>
        </is>
      </c>
      <c r="D2" t="n">
        <v>500000</v>
      </c>
      <c r="E2" t="n">
        <v>250000</v>
      </c>
      <c r="F2" t="n">
        <v>0</v>
      </c>
      <c r="G2">
        <f>N(D2)-N(E2)-N(F2)</f>
        <v/>
      </c>
    </row>
    <row r="3">
      <c r="A3" t="n">
        <v>51</v>
      </c>
      <c r="B3" t="inlineStr">
        <is>
          <t>02.02</t>
        </is>
      </c>
      <c r="C3" t="inlineStr">
        <is>
          <t>51 роза розовая, белая уп. (Алекс)</t>
        </is>
      </c>
      <c r="D3" t="n">
        <v>1000000</v>
      </c>
      <c r="E3" t="n">
        <v>300000</v>
      </c>
      <c r="F3" t="n">
        <v>0</v>
      </c>
      <c r="G3">
        <f>N(D3)-N(E3)-N(F3)</f>
        <v/>
      </c>
    </row>
    <row r="4">
      <c r="A4" t="n">
        <v>52</v>
      </c>
      <c r="B4" t="inlineStr">
        <is>
          <t>02.02</t>
        </is>
      </c>
      <c r="C4" t="inlineStr">
        <is>
          <t>25 роз красных (Денис)</t>
        </is>
      </c>
      <c r="D4" t="n">
        <v>500000</v>
      </c>
      <c r="E4" t="n">
        <v>250000</v>
      </c>
      <c r="F4" t="n">
        <v>0</v>
      </c>
      <c r="G4">
        <f>N(D4)-N(E4)-N(F4)</f>
        <v/>
      </c>
    </row>
    <row r="5">
      <c r="A5" t="n">
        <v>53</v>
      </c>
      <c r="B5" t="inlineStr">
        <is>
          <t>02.02</t>
        </is>
      </c>
      <c r="C5" t="inlineStr">
        <is>
          <t>Питу сборный авторский</t>
        </is>
      </c>
      <c r="D5" t="n">
        <v>700000</v>
      </c>
      <c r="E5" t="n">
        <v>300000</v>
      </c>
      <c r="F5" t="n">
        <v>0</v>
      </c>
      <c r="G5">
        <f>N(D5)-N(E5)-N(F5)</f>
        <v/>
      </c>
    </row>
    <row r="6">
      <c r="A6" t="n">
        <v>54</v>
      </c>
      <c r="B6" t="inlineStr">
        <is>
          <t>03.02</t>
        </is>
      </c>
      <c r="C6" t="inlineStr">
        <is>
          <t>25 белых роз, Панама (Александр)</t>
        </is>
      </c>
      <c r="D6" t="n">
        <v>500000</v>
      </c>
      <c r="E6" t="n">
        <v>250000</v>
      </c>
      <c r="F6" t="n">
        <v>0</v>
      </c>
      <c r="G6">
        <f>N(D6)-N(E6)-N(F6)</f>
        <v/>
      </c>
    </row>
    <row r="7">
      <c r="A7" t="n">
        <v>55</v>
      </c>
      <c r="B7" t="inlineStr">
        <is>
          <t>03.02</t>
        </is>
      </c>
      <c r="C7" t="inlineStr">
        <is>
          <t>Сборный бело-розовый (Антон)</t>
        </is>
      </c>
      <c r="D7" t="n">
        <v>1000000</v>
      </c>
      <c r="E7" t="n">
        <v>500000</v>
      </c>
      <c r="F7" t="n">
        <v>0</v>
      </c>
      <c r="G7">
        <f>N(D7)-N(E7)-N(F7)</f>
        <v/>
      </c>
    </row>
    <row r="8">
      <c r="A8" t="n">
        <v>56</v>
      </c>
      <c r="B8" t="inlineStr">
        <is>
          <t>03.02</t>
        </is>
      </c>
      <c r="C8" t="inlineStr">
        <is>
          <t>101 роза Джумилия (Данил)</t>
        </is>
      </c>
      <c r="D8" t="n">
        <v>1500000</v>
      </c>
      <c r="E8" t="n">
        <v>600000</v>
      </c>
      <c r="F8" t="n">
        <v>0</v>
      </c>
      <c r="G8">
        <f>N(D8)-N(E8)-N(F8)</f>
        <v/>
      </c>
    </row>
    <row r="9">
      <c r="A9" t="n">
        <v>57</v>
      </c>
      <c r="B9" t="inlineStr">
        <is>
          <t>04.02</t>
        </is>
      </c>
      <c r="C9" t="inlineStr">
        <is>
          <t>25 роз Джумилия</t>
        </is>
      </c>
      <c r="D9" t="n">
        <v>500000</v>
      </c>
      <c r="E9" t="n">
        <v>250000</v>
      </c>
      <c r="F9" t="n">
        <v>0</v>
      </c>
      <c r="G9">
        <f>N(D9)-N(E9)-N(F9)</f>
        <v/>
      </c>
    </row>
    <row r="10">
      <c r="A10" t="n">
        <v>58</v>
      </c>
      <c r="B10" t="inlineStr">
        <is>
          <t>04.02</t>
        </is>
      </c>
      <c r="C10" t="inlineStr">
        <is>
          <t>10 подсолнухов (Айнур)</t>
        </is>
      </c>
      <c r="D10" t="n">
        <v>900000</v>
      </c>
      <c r="E10" t="n">
        <v>500000</v>
      </c>
      <c r="F10" t="n">
        <v>0</v>
      </c>
      <c r="G10">
        <f>N(D10)-N(E10)-N(F10)</f>
        <v/>
      </c>
    </row>
    <row r="11">
      <c r="A11" t="n">
        <v>59</v>
      </c>
      <c r="B11" t="inlineStr">
        <is>
          <t>05.02</t>
        </is>
      </c>
      <c r="C11" t="inlineStr">
        <is>
          <t>5 пачек кустовой с эвкалиптом (Карина)</t>
        </is>
      </c>
      <c r="D11" t="n">
        <v>2500000</v>
      </c>
      <c r="E11" t="n">
        <v>1400000</v>
      </c>
      <c r="F11" t="n">
        <v>120000</v>
      </c>
      <c r="G11">
        <f>N(D11)-N(E11)-N(F11)</f>
        <v/>
      </c>
    </row>
    <row r="12">
      <c r="A12" t="n">
        <v>60</v>
      </c>
      <c r="B12" t="inlineStr">
        <is>
          <t>05.02</t>
        </is>
      </c>
      <c r="C12" t="inlineStr">
        <is>
          <t>29 роз (Карина)</t>
        </is>
      </c>
      <c r="D12" t="n">
        <v>600000</v>
      </c>
      <c r="E12" t="n">
        <v>300000</v>
      </c>
      <c r="F12" t="n">
        <v>0</v>
      </c>
      <c r="G12">
        <f>N(D12)-N(E12)-N(F12)</f>
        <v/>
      </c>
    </row>
    <row r="13">
      <c r="A13" t="n">
        <v>61</v>
      </c>
      <c r="B13" t="inlineStr">
        <is>
          <t>05.02</t>
        </is>
      </c>
      <c r="C13" t="inlineStr">
        <is>
          <t>51 роза красная (Андрей)</t>
        </is>
      </c>
      <c r="D13" t="n">
        <v>500000</v>
      </c>
      <c r="E13" t="n">
        <v>350000</v>
      </c>
      <c r="F13" t="n">
        <v>0</v>
      </c>
      <c r="G13">
        <f>N(D13)-N(E13)-N(F13)</f>
        <v/>
      </c>
    </row>
    <row r="14">
      <c r="A14" t="n">
        <v>62</v>
      </c>
      <c r="B14" t="inlineStr">
        <is>
          <t>06.02</t>
        </is>
      </c>
      <c r="C14" t="inlineStr">
        <is>
          <t>7 лилий (Serg)</t>
        </is>
      </c>
      <c r="D14" t="n">
        <v>650000</v>
      </c>
      <c r="E14" t="n">
        <v>400000</v>
      </c>
      <c r="F14" t="n">
        <v>0</v>
      </c>
      <c r="G14">
        <f>N(D14)-N(E14)-N(F14)</f>
        <v/>
      </c>
    </row>
    <row r="15">
      <c r="A15" t="n">
        <v>63</v>
      </c>
      <c r="B15" t="inlineStr">
        <is>
          <t>06.02</t>
        </is>
      </c>
      <c r="C15" t="inlineStr">
        <is>
          <t>3 букета 25/25/5 лилий (Константин)</t>
        </is>
      </c>
      <c r="D15" t="n">
        <v>1350000</v>
      </c>
      <c r="E15" t="n">
        <v>700000</v>
      </c>
      <c r="F15" t="n">
        <v>0</v>
      </c>
      <c r="G15">
        <f>N(D15)-N(E15)-N(F15)</f>
        <v/>
      </c>
    </row>
    <row r="16">
      <c r="A16" t="n">
        <v>64</v>
      </c>
      <c r="B16" t="inlineStr">
        <is>
          <t>06.02</t>
        </is>
      </c>
      <c r="C16" t="inlineStr">
        <is>
          <t>101 роза бело-красная (Василий)</t>
        </is>
      </c>
      <c r="D16" t="n">
        <v>1500000</v>
      </c>
      <c r="E16" t="n">
        <v>600000</v>
      </c>
      <c r="F16" t="n">
        <v>0</v>
      </c>
      <c r="G16">
        <f>N(D16)-N(E16)-N(F16)</f>
        <v/>
      </c>
    </row>
    <row r="17">
      <c r="A17" t="n">
        <v>65</v>
      </c>
      <c r="B17" t="inlineStr">
        <is>
          <t>06.02</t>
        </is>
      </c>
      <c r="C17" t="inlineStr">
        <is>
          <t>25 роз джумилия (Айдар)</t>
        </is>
      </c>
      <c r="D17" t="n">
        <v>500000</v>
      </c>
      <c r="E17" t="n">
        <v>250000</v>
      </c>
      <c r="F17" t="n">
        <v>0</v>
      </c>
      <c r="G17">
        <f>N(D17)-N(E17)-N(F17)</f>
        <v/>
      </c>
    </row>
    <row r="18">
      <c r="A18" t="n">
        <v>66</v>
      </c>
      <c r="B18" t="inlineStr">
        <is>
          <t>07.02</t>
        </is>
      </c>
      <c r="C18" t="inlineStr">
        <is>
          <t>101 красная роза (Андрей)</t>
        </is>
      </c>
      <c r="D18" t="n">
        <v>1500000</v>
      </c>
      <c r="E18" t="n">
        <v>600000</v>
      </c>
      <c r="F18" t="n">
        <v>0</v>
      </c>
      <c r="G18">
        <f>N(D18)-N(E18)-N(F18)</f>
        <v/>
      </c>
    </row>
    <row r="19">
      <c r="A19" t="n">
        <v>67</v>
      </c>
      <c r="B19" t="inlineStr">
        <is>
          <t>07.02</t>
        </is>
      </c>
      <c r="C19" t="inlineStr">
        <is>
          <t>101 розовая роза (Андрей)</t>
        </is>
      </c>
      <c r="D19" t="n">
        <v>1500000</v>
      </c>
      <c r="E19" t="n">
        <v>600000</v>
      </c>
      <c r="F19" t="n">
        <v>0</v>
      </c>
      <c r="G19">
        <f>N(D19)-N(E19)-N(F19)</f>
        <v/>
      </c>
    </row>
    <row r="20">
      <c r="A20" t="n">
        <v>68</v>
      </c>
      <c r="B20" t="inlineStr">
        <is>
          <t>07.02</t>
        </is>
      </c>
      <c r="C20" t="inlineStr">
        <is>
          <t>101 роза Ольге (Nadin)</t>
        </is>
      </c>
      <c r="D20" t="n">
        <v>1500000</v>
      </c>
      <c r="E20" t="n">
        <v>600000</v>
      </c>
      <c r="F20" t="n">
        <v>0</v>
      </c>
      <c r="G20">
        <f>N(D20)-N(E20)-N(F20)</f>
        <v/>
      </c>
    </row>
    <row r="21">
      <c r="A21" t="n">
        <v>69</v>
      </c>
      <c r="B21" t="inlineStr">
        <is>
          <t>07.02</t>
        </is>
      </c>
      <c r="C21" t="inlineStr">
        <is>
          <t>Сборный Ольге (Nadin)</t>
        </is>
      </c>
      <c r="D21" t="n">
        <v>1250000</v>
      </c>
      <c r="E21" t="n">
        <v>650000</v>
      </c>
      <c r="F21" t="n">
        <v>0</v>
      </c>
      <c r="G21">
        <f>N(D21)-N(E21)-N(F21)</f>
        <v/>
      </c>
    </row>
    <row r="22">
      <c r="A22" t="n">
        <v>70</v>
      </c>
      <c r="B22" t="inlineStr">
        <is>
          <t>07.02</t>
        </is>
      </c>
      <c r="C22" t="inlineStr">
        <is>
          <t>101 красная пионов. + 2 букета по 7 роз</t>
        </is>
      </c>
      <c r="D22" t="n">
        <v>1500000</v>
      </c>
      <c r="E22" t="n">
        <v>700000</v>
      </c>
      <c r="F22" t="n">
        <v>0</v>
      </c>
      <c r="G22">
        <f>N(D22)-N(E22)-N(F22)</f>
        <v/>
      </c>
    </row>
    <row r="23">
      <c r="A23" t="n">
        <v>71</v>
      </c>
      <c r="B23" t="inlineStr">
        <is>
          <t>07.02</t>
        </is>
      </c>
      <c r="C23" t="inlineStr">
        <is>
          <t>101 красная, Камрань</t>
        </is>
      </c>
      <c r="D23" t="n">
        <v>2200000</v>
      </c>
      <c r="E23" t="n">
        <v>700000</v>
      </c>
      <c r="F23" t="n">
        <v>600000</v>
      </c>
      <c r="G23">
        <f>N(D23)-N(E23)-N(F23)</f>
        <v/>
      </c>
    </row>
    <row r="24">
      <c r="A24" t="n">
        <v>72</v>
      </c>
      <c r="B24" t="inlineStr">
        <is>
          <t>09.02</t>
        </is>
      </c>
      <c r="C24" t="inlineStr">
        <is>
          <t>Сборный, водопады (Владимир)</t>
        </is>
      </c>
      <c r="D24" t="n">
        <v>1500000</v>
      </c>
      <c r="E24" t="n">
        <v>500000</v>
      </c>
      <c r="F24" t="n">
        <v>500000</v>
      </c>
      <c r="G24">
        <f>N(D24)-N(E24)-N(F24)</f>
        <v/>
      </c>
    </row>
    <row r="25">
      <c r="A25" t="n">
        <v>73</v>
      </c>
      <c r="B25" t="inlineStr">
        <is>
          <t>09.02</t>
        </is>
      </c>
      <c r="C25" t="inlineStr">
        <is>
          <t>101 красная (Iurii)</t>
        </is>
      </c>
      <c r="D25" t="n">
        <v>1500000</v>
      </c>
      <c r="E25" t="n">
        <v>900000</v>
      </c>
      <c r="F25" t="n">
        <v>100000</v>
      </c>
      <c r="G25">
        <f>N(D25)-N(E25)-N(F25)</f>
        <v/>
      </c>
    </row>
    <row r="26">
      <c r="A26" t="n">
        <v>74</v>
      </c>
      <c r="B26" t="inlineStr">
        <is>
          <t>09.02</t>
        </is>
      </c>
      <c r="C26" t="inlineStr">
        <is>
          <t>151 розовая, Камрань (Morgan)</t>
        </is>
      </c>
      <c r="D26" t="n">
        <v>2850000</v>
      </c>
      <c r="E26" t="n">
        <v>1350000</v>
      </c>
      <c r="F26" t="n">
        <v>550000</v>
      </c>
      <c r="G26">
        <f>N(D26)-N(E26)-N(F26)</f>
        <v/>
      </c>
    </row>
    <row r="27">
      <c r="A27" t="n">
        <v>75</v>
      </c>
      <c r="B27" t="inlineStr">
        <is>
          <t>09.02</t>
        </is>
      </c>
      <c r="C27" t="inlineStr">
        <is>
          <t>101 красно-белая, Камрань (Василий)</t>
        </is>
      </c>
      <c r="D27" t="n">
        <v>2500000</v>
      </c>
      <c r="E27" t="n">
        <v>650000</v>
      </c>
      <c r="F27" t="n">
        <v>500000</v>
      </c>
      <c r="G27">
        <f>N(D27)-N(E27)-N(F27)</f>
        <v/>
      </c>
    </row>
    <row r="28">
      <c r="A28" t="n">
        <v>76</v>
      </c>
      <c r="B28" t="inlineStr">
        <is>
          <t>10.02</t>
        </is>
      </c>
      <c r="C28" t="inlineStr">
        <is>
          <t>51 красная пионов., Камрань (Егор)</t>
        </is>
      </c>
      <c r="D28" t="n">
        <v>2000000</v>
      </c>
      <c r="E28" t="n">
        <v>350000</v>
      </c>
      <c r="F28" t="n">
        <v>500000</v>
      </c>
      <c r="G28">
        <f>N(D28)-N(E28)-N(F28)</f>
        <v/>
      </c>
    </row>
    <row r="29">
      <c r="A29" t="n">
        <v>77</v>
      </c>
      <c r="B29" t="inlineStr">
        <is>
          <t>11.02</t>
        </is>
      </c>
      <c r="C29" t="inlineStr">
        <is>
          <t>Сборный, центр</t>
        </is>
      </c>
      <c r="D29" t="n">
        <v>1200000</v>
      </c>
      <c r="E29" t="n">
        <v>500000</v>
      </c>
      <c r="F29" t="n">
        <v>0</v>
      </c>
      <c r="G29">
        <f>N(D29)-N(E29)-N(F29)</f>
        <v/>
      </c>
    </row>
    <row r="30">
      <c r="A30" t="n">
        <v>78</v>
      </c>
      <c r="B30" t="inlineStr">
        <is>
          <t>11.02</t>
        </is>
      </c>
      <c r="C30" t="inlineStr">
        <is>
          <t>101 Джамилия (Саня Молдова)</t>
        </is>
      </c>
      <c r="D30" t="n">
        <v>2000000</v>
      </c>
      <c r="E30" t="n">
        <v>600000</v>
      </c>
      <c r="F30" t="n">
        <v>0</v>
      </c>
      <c r="G30">
        <f>N(D30)-N(E30)-N(F30)</f>
        <v/>
      </c>
    </row>
    <row r="31">
      <c r="A31" t="n">
        <v>79</v>
      </c>
      <c r="B31" t="inlineStr">
        <is>
          <t>11.02</t>
        </is>
      </c>
      <c r="C31" t="inlineStr">
        <is>
          <t>101 белая (Саня Молдова)</t>
        </is>
      </c>
      <c r="D31" t="n">
        <v>2000000</v>
      </c>
      <c r="E31" t="n">
        <v>600000</v>
      </c>
      <c r="F31" t="n">
        <v>0</v>
      </c>
      <c r="G31">
        <f>N(D31)-N(E31)-N(F31)</f>
        <v/>
      </c>
    </row>
    <row r="32">
      <c r="A32" t="n">
        <v>80</v>
      </c>
      <c r="B32" t="inlineStr">
        <is>
          <t>13.02</t>
        </is>
      </c>
      <c r="C32" t="inlineStr">
        <is>
          <t>Сборный авторский (Андрей, инст)</t>
        </is>
      </c>
      <c r="D32" t="n">
        <v>1200000</v>
      </c>
      <c r="E32" t="n">
        <v>500000</v>
      </c>
      <c r="F32" t="n">
        <v>0</v>
      </c>
      <c r="G32">
        <f>N(D32)-N(E32)-N(F32)</f>
        <v/>
      </c>
    </row>
    <row r="33">
      <c r="A33" t="n">
        <v>81</v>
      </c>
      <c r="B33" t="inlineStr">
        <is>
          <t>14.02</t>
        </is>
      </c>
      <c r="C33" t="inlineStr">
        <is>
          <t>51 розовая, Камрань (D)</t>
        </is>
      </c>
      <c r="D33" t="n">
        <v>2000000</v>
      </c>
      <c r="E33" t="n">
        <v>400000</v>
      </c>
      <c r="F33" t="n">
        <v>450000</v>
      </c>
      <c r="G33">
        <f>N(D33)-N(E33)-N(F33)</f>
        <v/>
      </c>
    </row>
    <row r="34">
      <c r="A34" t="n">
        <v>82</v>
      </c>
      <c r="B34" t="inlineStr">
        <is>
          <t>14.02</t>
        </is>
      </c>
      <c r="C34" t="inlineStr">
        <is>
          <t>2 букета 101 и 51 (Владик Пак)</t>
        </is>
      </c>
      <c r="D34" t="n">
        <v>3500000</v>
      </c>
      <c r="E34" t="n">
        <v>4000000</v>
      </c>
      <c r="F34" t="n">
        <v>0</v>
      </c>
      <c r="G34">
        <f>N(D34)-N(E34)-N(F34)</f>
        <v/>
      </c>
    </row>
    <row r="35">
      <c r="A35" t="n">
        <v>83</v>
      </c>
      <c r="B35" t="inlineStr">
        <is>
          <t>14.02</t>
        </is>
      </c>
      <c r="C35" t="inlineStr">
        <is>
          <t>25 белых роз (Arsen)</t>
        </is>
      </c>
      <c r="D35" t="n">
        <v>750000</v>
      </c>
      <c r="E35" t="n">
        <v>300000</v>
      </c>
      <c r="F35" t="n">
        <v>0</v>
      </c>
      <c r="G35">
        <f>N(D35)-N(E35)-N(F35)</f>
        <v/>
      </c>
    </row>
    <row r="36">
      <c r="A36" t="n">
        <v>84</v>
      </c>
      <c r="B36" t="inlineStr">
        <is>
          <t>14.02</t>
        </is>
      </c>
      <c r="C36" t="inlineStr">
        <is>
          <t>101 розовая, Камрань (Ruslan Guba)</t>
        </is>
      </c>
      <c r="D36" t="n">
        <v>3000000</v>
      </c>
      <c r="E36" t="n">
        <v>800000</v>
      </c>
      <c r="F36" t="n">
        <v>500000</v>
      </c>
      <c r="G36">
        <f>N(D36)-N(E36)-N(F36)</f>
        <v/>
      </c>
    </row>
    <row r="37">
      <c r="A37" t="n">
        <v>85</v>
      </c>
      <c r="B37" t="inlineStr">
        <is>
          <t>14.02</t>
        </is>
      </c>
      <c r="C37" t="inlineStr">
        <is>
          <t>51 красная, океанус (Родя)</t>
        </is>
      </c>
      <c r="D37" t="n">
        <v>1500000</v>
      </c>
      <c r="E37" t="n">
        <v>400000</v>
      </c>
      <c r="F37" t="n">
        <v>0</v>
      </c>
      <c r="G37">
        <f>N(D37)-N(E37)-N(F37)</f>
        <v/>
      </c>
    </row>
    <row r="38">
      <c r="A38" t="n">
        <v>86</v>
      </c>
      <c r="B38" t="inlineStr">
        <is>
          <t>14.02</t>
        </is>
      </c>
      <c r="C38" t="inlineStr">
        <is>
          <t>Сборный (Михаил)</t>
        </is>
      </c>
      <c r="D38" t="n">
        <v>800000</v>
      </c>
      <c r="E38" t="n">
        <v>400000</v>
      </c>
      <c r="F38" t="n">
        <v>0</v>
      </c>
      <c r="G38">
        <f>N(D38)-N(E38)-N(F38)</f>
        <v/>
      </c>
    </row>
    <row r="39">
      <c r="A39" t="n">
        <v>87</v>
      </c>
      <c r="B39" t="inlineStr">
        <is>
          <t>14.02</t>
        </is>
      </c>
      <c r="C39" t="inlineStr">
        <is>
          <t>Сборный (казах)</t>
        </is>
      </c>
      <c r="D39" t="n">
        <v>1000000</v>
      </c>
      <c r="E39" t="n">
        <v>450000</v>
      </c>
      <c r="F39" t="n">
        <v>0</v>
      </c>
      <c r="G39">
        <f>N(D39)-N(E39)-N(F39)</f>
        <v/>
      </c>
    </row>
    <row r="40">
      <c r="A40" t="n">
        <v>88</v>
      </c>
      <c r="B40" t="inlineStr">
        <is>
          <t>15.02</t>
        </is>
      </c>
      <c r="C40" t="inlineStr">
        <is>
          <t>51 белая (procrastination)</t>
        </is>
      </c>
      <c r="D40" t="n">
        <v>1500000</v>
      </c>
      <c r="E40" t="n">
        <v>350000</v>
      </c>
      <c r="F40" t="n">
        <v>0</v>
      </c>
      <c r="G40">
        <f>N(D40)-N(E40)-N(F40)</f>
        <v/>
      </c>
    </row>
    <row r="41">
      <c r="A41" t="n">
        <v>89</v>
      </c>
      <c r="B41" t="inlineStr">
        <is>
          <t>15.02</t>
        </is>
      </c>
      <c r="C41" t="inlineStr">
        <is>
          <t>201 красная, панорама</t>
        </is>
      </c>
      <c r="D41" t="n">
        <v>3000000</v>
      </c>
      <c r="E41" t="n">
        <v>1500000</v>
      </c>
      <c r="F41" t="n">
        <v>50000</v>
      </c>
      <c r="G41">
        <f>N(D41)-N(E41)-N(F41)</f>
        <v/>
      </c>
    </row>
    <row r="42">
      <c r="A42" t="n">
        <v>90</v>
      </c>
      <c r="B42" t="inlineStr">
        <is>
          <t>15.02</t>
        </is>
      </c>
      <c r="C42" t="inlineStr">
        <is>
          <t>25 белых роз (Mary)</t>
        </is>
      </c>
      <c r="D42" t="n">
        <v>750000</v>
      </c>
      <c r="E42" t="n">
        <v>300000</v>
      </c>
      <c r="F42" t="n">
        <v>0</v>
      </c>
      <c r="G42">
        <f>N(D42)-N(E42)-N(F42)</f>
        <v/>
      </c>
    </row>
    <row r="43">
      <c r="A43" t="n">
        <v>91</v>
      </c>
      <c r="B43" t="inlineStr">
        <is>
          <t>16.02</t>
        </is>
      </c>
      <c r="C43" t="inlineStr">
        <is>
          <t>25 красных, Balcony</t>
        </is>
      </c>
      <c r="D43" t="n">
        <v>750000</v>
      </c>
      <c r="E43" t="n">
        <v>250000</v>
      </c>
      <c r="F43" t="n">
        <v>0</v>
      </c>
      <c r="G43">
        <f>N(D43)-N(E43)-N(F43)</f>
        <v/>
      </c>
    </row>
    <row r="44">
      <c r="A44" t="n">
        <v>92</v>
      </c>
      <c r="B44" t="inlineStr">
        <is>
          <t>17.02</t>
        </is>
      </c>
      <c r="C44" t="inlineStr">
        <is>
          <t>51 красная + ваза (Григорий)</t>
        </is>
      </c>
      <c r="D44" t="n">
        <v>1500000</v>
      </c>
      <c r="E44" t="n">
        <v>400000</v>
      </c>
      <c r="F44" t="n">
        <v>0</v>
      </c>
      <c r="G44">
        <f>N(D44)-N(E44)-N(F44)</f>
        <v/>
      </c>
    </row>
    <row r="45">
      <c r="A45" t="n">
        <v>93</v>
      </c>
      <c r="B45" t="inlineStr">
        <is>
          <t>21.02</t>
        </is>
      </c>
      <c r="C45" t="inlineStr">
        <is>
          <t>51 красная, чёрная уп. (Raybek)</t>
        </is>
      </c>
      <c r="D45" t="n">
        <v>1000000</v>
      </c>
      <c r="E45" t="n">
        <v>400000</v>
      </c>
      <c r="F45" t="n">
        <v>0</v>
      </c>
      <c r="G45">
        <f>N(D45)-N(E45)-N(F45)</f>
        <v/>
      </c>
    </row>
    <row r="46">
      <c r="A46" t="n">
        <v>94</v>
      </c>
      <c r="B46" t="inlineStr">
        <is>
          <t>22.02</t>
        </is>
      </c>
      <c r="C46" t="inlineStr">
        <is>
          <t>33 красные розы (Сергей)</t>
        </is>
      </c>
      <c r="D46" t="n">
        <v>650000</v>
      </c>
      <c r="E46" t="n">
        <v>300000</v>
      </c>
      <c r="F46" t="n">
        <v>0</v>
      </c>
      <c r="G46">
        <f>N(D46)-N(E46)-N(F46)</f>
        <v/>
      </c>
    </row>
    <row r="47">
      <c r="A47" t="n">
        <v>95</v>
      </c>
      <c r="B47" t="inlineStr">
        <is>
          <t>22.02</t>
        </is>
      </c>
      <c r="C47" t="inlineStr">
        <is>
          <t>51 белая, Океанус (Игорь)</t>
        </is>
      </c>
      <c r="D47" t="n">
        <v>1000000</v>
      </c>
      <c r="E47" t="n">
        <v>300000</v>
      </c>
      <c r="F47" t="n">
        <v>50000</v>
      </c>
      <c r="G47">
        <f>N(D47)-N(E47)-N(F47)</f>
        <v/>
      </c>
    </row>
    <row r="48">
      <c r="A48" t="n">
        <v>96</v>
      </c>
      <c r="B48" t="inlineStr">
        <is>
          <t>22.02</t>
        </is>
      </c>
      <c r="C48" t="inlineStr">
        <is>
          <t>51 белая, Весна отель (Владимир)</t>
        </is>
      </c>
      <c r="D48" t="n">
        <v>1000000</v>
      </c>
      <c r="E48" t="n">
        <v>300000</v>
      </c>
      <c r="F48" t="n">
        <v>0</v>
      </c>
      <c r="G48">
        <f>N(D48)-N(E48)-N(F48)</f>
        <v/>
      </c>
    </row>
    <row r="49">
      <c r="A49" t="n">
        <v>97</v>
      </c>
      <c r="B49" t="inlineStr">
        <is>
          <t>23.02</t>
        </is>
      </c>
      <c r="C49" t="inlineStr">
        <is>
          <t>25 белых роз, 7:30</t>
        </is>
      </c>
      <c r="D49" t="n">
        <v>500000</v>
      </c>
      <c r="E49" t="n">
        <v>250000</v>
      </c>
      <c r="F49" t="n">
        <v>0</v>
      </c>
      <c r="G49">
        <f>N(D49)-N(E49)-N(F49)</f>
        <v/>
      </c>
    </row>
    <row r="50">
      <c r="A50" t="n">
        <v>98</v>
      </c>
      <c r="B50" t="inlineStr">
        <is>
          <t>23.02</t>
        </is>
      </c>
      <c r="C50" t="inlineStr">
        <is>
          <t>31 белая роза, 11:30 (Evg)</t>
        </is>
      </c>
      <c r="D50" t="n">
        <v>650000</v>
      </c>
      <c r="E50" t="n">
        <v>300000</v>
      </c>
      <c r="F50" t="n">
        <v>0</v>
      </c>
      <c r="G50">
        <f>N(D50)-N(E50)-N(F50)</f>
        <v/>
      </c>
    </row>
    <row r="51">
      <c r="A51" t="n">
        <v>99</v>
      </c>
      <c r="B51" t="inlineStr">
        <is>
          <t>23.02</t>
        </is>
      </c>
      <c r="C51" t="inlineStr">
        <is>
          <t>101 красная, белая уп.</t>
        </is>
      </c>
      <c r="D51" t="n">
        <v>1500000</v>
      </c>
      <c r="E51" t="n">
        <v>800000</v>
      </c>
      <c r="F51" t="n">
        <v>0</v>
      </c>
      <c r="G51">
        <f>N(D51)-N(E51)-N(F51)</f>
        <v/>
      </c>
    </row>
    <row r="52">
      <c r="A52" t="n">
        <v>100</v>
      </c>
      <c r="B52" t="inlineStr">
        <is>
          <t>23.02</t>
        </is>
      </c>
      <c r="C52" t="inlineStr">
        <is>
          <t>51 белая с эвкалиптом (almmzzz)</t>
        </is>
      </c>
      <c r="D52" t="n">
        <v>900000</v>
      </c>
      <c r="E52" t="n">
        <v>300000</v>
      </c>
      <c r="F52" t="n">
        <v>0</v>
      </c>
      <c r="G52">
        <f>N(D52)-N(E52)-N(F52)</f>
        <v/>
      </c>
    </row>
    <row r="53">
      <c r="A53" t="n">
        <v>101</v>
      </c>
      <c r="B53" t="inlineStr">
        <is>
          <t>23.02</t>
        </is>
      </c>
      <c r="C53" t="inlineStr">
        <is>
          <t>Сборный другу Ильи</t>
        </is>
      </c>
      <c r="D53" t="n">
        <v>1500000</v>
      </c>
      <c r="E53" t="n">
        <v>700000</v>
      </c>
      <c r="F53" t="n">
        <v>0</v>
      </c>
      <c r="G53">
        <f>N(D53)-N(E53)-N(F53)</f>
        <v/>
      </c>
    </row>
    <row r="54">
      <c r="A54" t="n">
        <v>102</v>
      </c>
      <c r="B54" t="inlineStr">
        <is>
          <t>25.02</t>
        </is>
      </c>
      <c r="C54" t="inlineStr">
        <is>
          <t>51 красная (Кристина)</t>
        </is>
      </c>
      <c r="D54" t="n">
        <v>1000000</v>
      </c>
      <c r="E54" t="n">
        <v>350000</v>
      </c>
      <c r="F54" t="n">
        <v>0</v>
      </c>
      <c r="G54">
        <f>N(D54)-N(E54)-N(F54)</f>
        <v/>
      </c>
    </row>
    <row r="55">
      <c r="A55" t="n">
        <v>103</v>
      </c>
      <c r="B55" t="inlineStr">
        <is>
          <t>25.02</t>
        </is>
      </c>
      <c r="C55" t="inlineStr">
        <is>
          <t>101 розовая Полине (Алексей)</t>
        </is>
      </c>
      <c r="D55" t="n">
        <v>1500000</v>
      </c>
      <c r="E55" t="n">
        <v>500000</v>
      </c>
      <c r="F55" t="n">
        <v>0</v>
      </c>
      <c r="G55">
        <f>N(D55)-N(E55)-N(F55)</f>
        <v/>
      </c>
    </row>
    <row r="56">
      <c r="A56" t="n">
        <v>104</v>
      </c>
      <c r="B56" t="inlineStr">
        <is>
          <t>25.02</t>
        </is>
      </c>
      <c r="C56" t="inlineStr">
        <is>
          <t>25 роз розовые</t>
        </is>
      </c>
      <c r="D56" t="n">
        <v>500000</v>
      </c>
      <c r="E56" t="n">
        <v>250000</v>
      </c>
      <c r="F56" t="n">
        <v>0</v>
      </c>
      <c r="G56">
        <f>N(D56)-N(E56)-N(F56)</f>
        <v/>
      </c>
    </row>
    <row r="57">
      <c r="A57" t="n">
        <v>105</v>
      </c>
      <c r="B57" t="inlineStr">
        <is>
          <t>26.02</t>
        </is>
      </c>
      <c r="C57" t="inlineStr">
        <is>
          <t>Сборный (Надя)</t>
        </is>
      </c>
      <c r="D57" t="n">
        <v>700000</v>
      </c>
      <c r="E57" t="n">
        <v>400000</v>
      </c>
      <c r="F57" t="n">
        <v>0</v>
      </c>
      <c r="G57">
        <f>N(D57)-N(E57)-N(F57)</f>
        <v/>
      </c>
    </row>
    <row r="58">
      <c r="A58" t="n">
        <v>106</v>
      </c>
      <c r="B58" t="inlineStr">
        <is>
          <t>27.02</t>
        </is>
      </c>
      <c r="C58" t="inlineStr">
        <is>
          <t>25 роз розовых</t>
        </is>
      </c>
      <c r="D58" t="n">
        <v>500000</v>
      </c>
      <c r="E58" t="n">
        <v>200000</v>
      </c>
      <c r="F58" t="n">
        <v>0</v>
      </c>
      <c r="G58">
        <f>N(D58)-N(E58)-N(F58)</f>
        <v/>
      </c>
    </row>
    <row r="59">
      <c r="A59" t="n">
        <v>107</v>
      </c>
      <c r="B59" t="inlineStr">
        <is>
          <t>28.02</t>
        </is>
      </c>
      <c r="C59" t="inlineStr">
        <is>
          <t>51 розовая (Юлия)</t>
        </is>
      </c>
      <c r="D59" t="n">
        <v>1000000</v>
      </c>
      <c r="E59" t="n">
        <v>350000</v>
      </c>
      <c r="F59" t="n">
        <v>0</v>
      </c>
      <c r="G59">
        <f>N(D59)-N(E59)-N(F59)</f>
        <v/>
      </c>
    </row>
    <row r="60">
      <c r="C60" t="inlineStr">
        <is>
          <t>ИТОГО февраль</t>
        </is>
      </c>
      <c r="D60">
        <f>SUM(D2:D59)</f>
        <v/>
      </c>
      <c r="E60">
        <f>SUM(E2:E59)</f>
        <v/>
      </c>
      <c r="F60">
        <f>SUM(F2:F59)</f>
        <v/>
      </c>
      <c r="G60">
        <f>SUM(G2:G59)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2026-06-06T05:25:13Z</dcterms:created>
  <dcterms:modified xmlns:dcterms="http://purl.org/dc/terms/" xmlns:xsi="http://www.w3.org/2001/XMLSchema-instance" xsi:type="dcterms:W3CDTF">2026-06-06T05:25:13Z</dcterms:modified>
</cp:coreProperties>
</file>